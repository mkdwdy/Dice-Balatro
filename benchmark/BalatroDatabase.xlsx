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ker" sheetId="1" r:id="rId5"/>
    <sheet state="visible" name="Tarot" sheetId="2" r:id="rId6"/>
    <sheet state="visible" name="Planet" sheetId="3" r:id="rId7"/>
    <sheet state="visible" name="Spectral" sheetId="4" r:id="rId8"/>
    <sheet state="visible" name="Voucher" sheetId="5" r:id="rId9"/>
    <sheet state="visible" name="Booster" sheetId="6" r:id="rId10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5"/>
    <col customWidth="1" min="3" max="3" width="58.75"/>
    <col customWidth="1" min="4" max="4" width="5.13"/>
    <col customWidth="1" min="5" max="5" width="9.5"/>
    <col customWidth="1" min="6" max="6" width="58.0"/>
    <col customWidth="1" min="7" max="7" width="5.5"/>
    <col customWidth="1" min="8" max="8" width="13.25"/>
  </cols>
  <sheetData>
    <row r="1">
      <c r="A1" s="1" t="str">
        <f>IFERROR(__xludf.DUMMYFUNCTION("IMPORTHTML(""https://balatrogame.fandom.com/wiki/Jokers"", ""table"", 2)"),"Nr")</f>
        <v>Nr</v>
      </c>
      <c r="B1" s="1" t="str">
        <f>IFERROR(__xludf.DUMMYFUNCTION("""COMPUTED_VALUE"""),"Joker")</f>
        <v>Joker</v>
      </c>
      <c r="C1" s="1" t="str">
        <f>IFERROR(__xludf.DUMMYFUNCTION("""COMPUTED_VALUE"""),"Effect")</f>
        <v>Effect</v>
      </c>
      <c r="D1" s="1" t="str">
        <f>IFERROR(__xludf.DUMMYFUNCTION("""COMPUTED_VALUE"""),"Cost")</f>
        <v>Cost</v>
      </c>
      <c r="E1" s="1" t="str">
        <f>IFERROR(__xludf.DUMMYFUNCTION("""COMPUTED_VALUE"""),"Rarity")</f>
        <v>Rarity</v>
      </c>
      <c r="F1" s="1" t="str">
        <f>IFERROR(__xludf.DUMMYFUNCTION("""COMPUTED_VALUE"""),"Unlock Requirement")</f>
        <v>Unlock Requirement</v>
      </c>
      <c r="G1" s="1" t="str">
        <f>IFERROR(__xludf.DUMMYFUNCTION("""COMPUTED_VALUE"""),"Type")</f>
        <v>Type</v>
      </c>
      <c r="H1" s="1" t="str">
        <f>IFERROR(__xludf.DUMMYFUNCTION("""COMPUTED_VALUE"""),"Act")</f>
        <v>Act</v>
      </c>
    </row>
    <row r="2">
      <c r="A2" s="1">
        <f>IFERROR(__xludf.DUMMYFUNCTION("""COMPUTED_VALUE"""),1.0)</f>
        <v>1</v>
      </c>
      <c r="B2" s="1" t="str">
        <f>IFERROR(__xludf.DUMMYFUNCTION("""COMPUTED_VALUE"""),"Joker")</f>
        <v>Joker</v>
      </c>
      <c r="C2" s="1" t="str">
        <f>IFERROR(__xludf.DUMMYFUNCTION("""COMPUTED_VALUE"""),"*+4 Mult*")</f>
        <v>*+4 Mult*</v>
      </c>
      <c r="D2" s="1" t="str">
        <f>IFERROR(__xludf.DUMMYFUNCTION("""COMPUTED_VALUE"""),"*$2*")</f>
        <v>*$2*</v>
      </c>
      <c r="E2" s="1" t="str">
        <f>IFERROR(__xludf.DUMMYFUNCTION("""COMPUTED_VALUE"""),"Common")</f>
        <v>Common</v>
      </c>
      <c r="F2" s="1" t="str">
        <f>IFERROR(__xludf.DUMMYFUNCTION("""COMPUTED_VALUE"""),"Available from start.")</f>
        <v>Available from start.</v>
      </c>
      <c r="G2" s="1" t="str">
        <f>IFERROR(__xludf.DUMMYFUNCTION("""COMPUTED_VALUE"""),"*+m*")</f>
        <v>*+m*</v>
      </c>
      <c r="H2" s="1" t="str">
        <f>IFERROR(__xludf.DUMMYFUNCTION("""COMPUTED_VALUE"""),"Indep.")</f>
        <v>Indep.</v>
      </c>
    </row>
    <row r="3">
      <c r="A3" s="1">
        <f>IFERROR(__xludf.DUMMYFUNCTION("""COMPUTED_VALUE"""),2.0)</f>
        <v>2</v>
      </c>
      <c r="B3" s="1" t="str">
        <f>IFERROR(__xludf.DUMMYFUNCTION("""COMPUTED_VALUE"""),"Greedy Joker")</f>
        <v>Greedy Joker</v>
      </c>
      <c r="C3" s="1" t="str">
        <f>IFERROR(__xludf.DUMMYFUNCTION("""COMPUTED_VALUE"""),"Played cards with * Diamond* suit give *+3 Mult* when scored")</f>
        <v>Played cards with * Diamond* suit give *+3 Mult* when scored</v>
      </c>
      <c r="D3" s="1" t="str">
        <f>IFERROR(__xludf.DUMMYFUNCTION("""COMPUTED_VALUE"""),"*$5*")</f>
        <v>*$5*</v>
      </c>
      <c r="E3" s="1" t="str">
        <f>IFERROR(__xludf.DUMMYFUNCTION("""COMPUTED_VALUE"""),"Common")</f>
        <v>Common</v>
      </c>
      <c r="F3" s="1" t="str">
        <f>IFERROR(__xludf.DUMMYFUNCTION("""COMPUTED_VALUE"""),"Available from start.")</f>
        <v>Available from start.</v>
      </c>
      <c r="G3" s="1" t="str">
        <f>IFERROR(__xludf.DUMMYFUNCTION("""COMPUTED_VALUE"""),"*+m*")</f>
        <v>*+m*</v>
      </c>
      <c r="H3" s="1" t="str">
        <f>IFERROR(__xludf.DUMMYFUNCTION("""COMPUTED_VALUE"""),"On Scored")</f>
        <v>On Scored</v>
      </c>
    </row>
    <row r="4">
      <c r="A4" s="1">
        <f>IFERROR(__xludf.DUMMYFUNCTION("""COMPUTED_VALUE"""),3.0)</f>
        <v>3</v>
      </c>
      <c r="B4" s="1" t="str">
        <f>IFERROR(__xludf.DUMMYFUNCTION("""COMPUTED_VALUE"""),"Lusty Joker")</f>
        <v>Lusty Joker</v>
      </c>
      <c r="C4" s="1" t="str">
        <f>IFERROR(__xludf.DUMMYFUNCTION("""COMPUTED_VALUE"""),"Played cards with * Heart* suit give *+3 Mult* when scored")</f>
        <v>Played cards with * Heart* suit give *+3 Mult* when scored</v>
      </c>
      <c r="D4" s="1" t="str">
        <f>IFERROR(__xludf.DUMMYFUNCTION("""COMPUTED_VALUE"""),"*$5*")</f>
        <v>*$5*</v>
      </c>
      <c r="E4" s="1" t="str">
        <f>IFERROR(__xludf.DUMMYFUNCTION("""COMPUTED_VALUE"""),"Common")</f>
        <v>Common</v>
      </c>
      <c r="F4" s="1" t="str">
        <f>IFERROR(__xludf.DUMMYFUNCTION("""COMPUTED_VALUE"""),"Available from start.")</f>
        <v>Available from start.</v>
      </c>
      <c r="G4" s="1" t="str">
        <f>IFERROR(__xludf.DUMMYFUNCTION("""COMPUTED_VALUE"""),"*+m*")</f>
        <v>*+m*</v>
      </c>
      <c r="H4" s="1" t="str">
        <f>IFERROR(__xludf.DUMMYFUNCTION("""COMPUTED_VALUE"""),"On Scored")</f>
        <v>On Scored</v>
      </c>
    </row>
    <row r="5">
      <c r="A5" s="1">
        <f>IFERROR(__xludf.DUMMYFUNCTION("""COMPUTED_VALUE"""),4.0)</f>
        <v>4</v>
      </c>
      <c r="B5" s="1" t="str">
        <f>IFERROR(__xludf.DUMMYFUNCTION("""COMPUTED_VALUE"""),"Wrathful Joker")</f>
        <v>Wrathful Joker</v>
      </c>
      <c r="C5" s="1" t="str">
        <f>IFERROR(__xludf.DUMMYFUNCTION("""COMPUTED_VALUE"""),"Played cards with * Spade* suit give *+3 Mult* when scored")</f>
        <v>Played cards with * Spade* suit give *+3 Mult* when scored</v>
      </c>
      <c r="D5" s="1" t="str">
        <f>IFERROR(__xludf.DUMMYFUNCTION("""COMPUTED_VALUE"""),"*$5*")</f>
        <v>*$5*</v>
      </c>
      <c r="E5" s="1" t="str">
        <f>IFERROR(__xludf.DUMMYFUNCTION("""COMPUTED_VALUE"""),"Common")</f>
        <v>Common</v>
      </c>
      <c r="F5" s="1" t="str">
        <f>IFERROR(__xludf.DUMMYFUNCTION("""COMPUTED_VALUE"""),"Available from start.")</f>
        <v>Available from start.</v>
      </c>
      <c r="G5" s="1" t="str">
        <f>IFERROR(__xludf.DUMMYFUNCTION("""COMPUTED_VALUE"""),"*+m*")</f>
        <v>*+m*</v>
      </c>
      <c r="H5" s="1" t="str">
        <f>IFERROR(__xludf.DUMMYFUNCTION("""COMPUTED_VALUE"""),"On Scored")</f>
        <v>On Scored</v>
      </c>
    </row>
    <row r="6">
      <c r="A6" s="1">
        <f>IFERROR(__xludf.DUMMYFUNCTION("""COMPUTED_VALUE"""),5.0)</f>
        <v>5</v>
      </c>
      <c r="B6" s="1" t="str">
        <f>IFERROR(__xludf.DUMMYFUNCTION("""COMPUTED_VALUE"""),"Gluttonous Joker")</f>
        <v>Gluttonous Joker</v>
      </c>
      <c r="C6" s="1" t="str">
        <f>IFERROR(__xludf.DUMMYFUNCTION("""COMPUTED_VALUE"""),"Played cards with * Club* suit give *+3 Mult* when scored")</f>
        <v>Played cards with * Club* suit give *+3 Mult* when scored</v>
      </c>
      <c r="D6" s="1" t="str">
        <f>IFERROR(__xludf.DUMMYFUNCTION("""COMPUTED_VALUE"""),"*$5*")</f>
        <v>*$5*</v>
      </c>
      <c r="E6" s="1" t="str">
        <f>IFERROR(__xludf.DUMMYFUNCTION("""COMPUTED_VALUE"""),"Common")</f>
        <v>Common</v>
      </c>
      <c r="F6" s="1" t="str">
        <f>IFERROR(__xludf.DUMMYFUNCTION("""COMPUTED_VALUE"""),"Available from start.")</f>
        <v>Available from start.</v>
      </c>
      <c r="G6" s="1" t="str">
        <f>IFERROR(__xludf.DUMMYFUNCTION("""COMPUTED_VALUE"""),"*+m*")</f>
        <v>*+m*</v>
      </c>
      <c r="H6" s="1" t="str">
        <f>IFERROR(__xludf.DUMMYFUNCTION("""COMPUTED_VALUE"""),"On Scored")</f>
        <v>On Scored</v>
      </c>
    </row>
    <row r="7">
      <c r="A7" s="1">
        <f>IFERROR(__xludf.DUMMYFUNCTION("""COMPUTED_VALUE"""),6.0)</f>
        <v>6</v>
      </c>
      <c r="B7" s="1" t="str">
        <f>IFERROR(__xludf.DUMMYFUNCTION("""COMPUTED_VALUE"""),"Jolly Joker")</f>
        <v>Jolly Joker</v>
      </c>
      <c r="C7" s="1" t="str">
        <f>IFERROR(__xludf.DUMMYFUNCTION("""COMPUTED_VALUE"""),"*+8 Mult* if played hand contains a *Pair*")</f>
        <v>*+8 Mult* if played hand contains a *Pair*</v>
      </c>
      <c r="D7" s="1" t="str">
        <f>IFERROR(__xludf.DUMMYFUNCTION("""COMPUTED_VALUE"""),"*$3*")</f>
        <v>*$3*</v>
      </c>
      <c r="E7" s="1" t="str">
        <f>IFERROR(__xludf.DUMMYFUNCTION("""COMPUTED_VALUE"""),"Common")</f>
        <v>Common</v>
      </c>
      <c r="F7" s="1" t="str">
        <f>IFERROR(__xludf.DUMMYFUNCTION("""COMPUTED_VALUE"""),"Available from start.")</f>
        <v>Available from start.</v>
      </c>
      <c r="G7" s="1" t="str">
        <f>IFERROR(__xludf.DUMMYFUNCTION("""COMPUTED_VALUE"""),"*+m*")</f>
        <v>*+m*</v>
      </c>
      <c r="H7" s="1" t="str">
        <f>IFERROR(__xludf.DUMMYFUNCTION("""COMPUTED_VALUE"""),"Indep.")</f>
        <v>Indep.</v>
      </c>
    </row>
    <row r="8">
      <c r="A8" s="1">
        <f>IFERROR(__xludf.DUMMYFUNCTION("""COMPUTED_VALUE"""),7.0)</f>
        <v>7</v>
      </c>
      <c r="B8" s="1" t="str">
        <f>IFERROR(__xludf.DUMMYFUNCTION("""COMPUTED_VALUE"""),"Zany Joker")</f>
        <v>Zany Joker</v>
      </c>
      <c r="C8" s="1" t="str">
        <f>IFERROR(__xludf.DUMMYFUNCTION("""COMPUTED_VALUE"""),"*+12 Mult* if played hand contains a *Three of a Kind*")</f>
        <v>*+12 Mult* if played hand contains a *Three of a Kind*</v>
      </c>
      <c r="D8" s="1" t="str">
        <f>IFERROR(__xludf.DUMMYFUNCTION("""COMPUTED_VALUE"""),"*$4*")</f>
        <v>*$4*</v>
      </c>
      <c r="E8" s="1" t="str">
        <f>IFERROR(__xludf.DUMMYFUNCTION("""COMPUTED_VALUE"""),"Common")</f>
        <v>Common</v>
      </c>
      <c r="F8" s="1" t="str">
        <f>IFERROR(__xludf.DUMMYFUNCTION("""COMPUTED_VALUE"""),"Available from start.")</f>
        <v>Available from start.</v>
      </c>
      <c r="G8" s="1" t="str">
        <f>IFERROR(__xludf.DUMMYFUNCTION("""COMPUTED_VALUE"""),"*+m*")</f>
        <v>*+m*</v>
      </c>
      <c r="H8" s="1" t="str">
        <f>IFERROR(__xludf.DUMMYFUNCTION("""COMPUTED_VALUE"""),"Indep.")</f>
        <v>Indep.</v>
      </c>
    </row>
    <row r="9">
      <c r="A9" s="1">
        <f>IFERROR(__xludf.DUMMYFUNCTION("""COMPUTED_VALUE"""),8.0)</f>
        <v>8</v>
      </c>
      <c r="B9" s="1" t="str">
        <f>IFERROR(__xludf.DUMMYFUNCTION("""COMPUTED_VALUE"""),"Mad Joker")</f>
        <v>Mad Joker</v>
      </c>
      <c r="C9" s="1" t="str">
        <f>IFERROR(__xludf.DUMMYFUNCTION("""COMPUTED_VALUE"""),"*+10 Mult* if played hand contains a *Two Pair*")</f>
        <v>*+10 Mult* if played hand contains a *Two Pair*</v>
      </c>
      <c r="D9" s="1" t="str">
        <f>IFERROR(__xludf.DUMMYFUNCTION("""COMPUTED_VALUE"""),"*$4*")</f>
        <v>*$4*</v>
      </c>
      <c r="E9" s="1" t="str">
        <f>IFERROR(__xludf.DUMMYFUNCTION("""COMPUTED_VALUE"""),"Common")</f>
        <v>Common</v>
      </c>
      <c r="F9" s="1" t="str">
        <f>IFERROR(__xludf.DUMMYFUNCTION("""COMPUTED_VALUE"""),"Available from start.")</f>
        <v>Available from start.</v>
      </c>
      <c r="G9" s="1" t="str">
        <f>IFERROR(__xludf.DUMMYFUNCTION("""COMPUTED_VALUE"""),"*+m*")</f>
        <v>*+m*</v>
      </c>
      <c r="H9" s="1" t="str">
        <f>IFERROR(__xludf.DUMMYFUNCTION("""COMPUTED_VALUE"""),"Indep.")</f>
        <v>Indep.</v>
      </c>
    </row>
    <row r="10">
      <c r="A10" s="1">
        <f>IFERROR(__xludf.DUMMYFUNCTION("""COMPUTED_VALUE"""),9.0)</f>
        <v>9</v>
      </c>
      <c r="B10" s="1" t="str">
        <f>IFERROR(__xludf.DUMMYFUNCTION("""COMPUTED_VALUE"""),"Crazy Joker")</f>
        <v>Crazy Joker</v>
      </c>
      <c r="C10" s="1" t="str">
        <f>IFERROR(__xludf.DUMMYFUNCTION("""COMPUTED_VALUE"""),"*+12 Mult* if played hand contains a *Straight*")</f>
        <v>*+12 Mult* if played hand contains a *Straight*</v>
      </c>
      <c r="D10" s="1" t="str">
        <f>IFERROR(__xludf.DUMMYFUNCTION("""COMPUTED_VALUE"""),"*$4*")</f>
        <v>*$4*</v>
      </c>
      <c r="E10" s="1" t="str">
        <f>IFERROR(__xludf.DUMMYFUNCTION("""COMPUTED_VALUE"""),"Common")</f>
        <v>Common</v>
      </c>
      <c r="F10" s="1" t="str">
        <f>IFERROR(__xludf.DUMMYFUNCTION("""COMPUTED_VALUE"""),"Available from start.")</f>
        <v>Available from start.</v>
      </c>
      <c r="G10" s="1" t="str">
        <f>IFERROR(__xludf.DUMMYFUNCTION("""COMPUTED_VALUE"""),"*+m*")</f>
        <v>*+m*</v>
      </c>
      <c r="H10" s="1" t="str">
        <f>IFERROR(__xludf.DUMMYFUNCTION("""COMPUTED_VALUE"""),"Indep.")</f>
        <v>Indep.</v>
      </c>
    </row>
    <row r="11">
      <c r="A11" s="1">
        <f>IFERROR(__xludf.DUMMYFUNCTION("""COMPUTED_VALUE"""),10.0)</f>
        <v>10</v>
      </c>
      <c r="B11" s="1" t="str">
        <f>IFERROR(__xludf.DUMMYFUNCTION("""COMPUTED_VALUE"""),"Droll Joker")</f>
        <v>Droll Joker</v>
      </c>
      <c r="C11" s="1" t="str">
        <f>IFERROR(__xludf.DUMMYFUNCTION("""COMPUTED_VALUE"""),"*+10 Mult* if played hand contains a *Flush*")</f>
        <v>*+10 Mult* if played hand contains a *Flush*</v>
      </c>
      <c r="D11" s="1" t="str">
        <f>IFERROR(__xludf.DUMMYFUNCTION("""COMPUTED_VALUE"""),"*$4*")</f>
        <v>*$4*</v>
      </c>
      <c r="E11" s="1" t="str">
        <f>IFERROR(__xludf.DUMMYFUNCTION("""COMPUTED_VALUE"""),"Common")</f>
        <v>Common</v>
      </c>
      <c r="F11" s="1" t="str">
        <f>IFERROR(__xludf.DUMMYFUNCTION("""COMPUTED_VALUE"""),"Available from start.")</f>
        <v>Available from start.</v>
      </c>
      <c r="G11" s="1" t="str">
        <f>IFERROR(__xludf.DUMMYFUNCTION("""COMPUTED_VALUE"""),"*+m*")</f>
        <v>*+m*</v>
      </c>
      <c r="H11" s="1" t="str">
        <f>IFERROR(__xludf.DUMMYFUNCTION("""COMPUTED_VALUE"""),"Indep.")</f>
        <v>Indep.</v>
      </c>
    </row>
    <row r="12">
      <c r="A12" s="1">
        <f>IFERROR(__xludf.DUMMYFUNCTION("""COMPUTED_VALUE"""),11.0)</f>
        <v>11</v>
      </c>
      <c r="B12" s="1" t="str">
        <f>IFERROR(__xludf.DUMMYFUNCTION("""COMPUTED_VALUE"""),"Sly Joker")</f>
        <v>Sly Joker</v>
      </c>
      <c r="C12" s="1" t="str">
        <f>IFERROR(__xludf.DUMMYFUNCTION("""COMPUTED_VALUE"""),"*+50* *Chips* if played hand contains a *Pair*")</f>
        <v>*+50* *Chips* if played hand contains a *Pair*</v>
      </c>
      <c r="D12" s="1" t="str">
        <f>IFERROR(__xludf.DUMMYFUNCTION("""COMPUTED_VALUE"""),"*$3*")</f>
        <v>*$3*</v>
      </c>
      <c r="E12" s="1" t="str">
        <f>IFERROR(__xludf.DUMMYFUNCTION("""COMPUTED_VALUE"""),"Common")</f>
        <v>Common</v>
      </c>
      <c r="F12" s="1" t="str">
        <f>IFERROR(__xludf.DUMMYFUNCTION("""COMPUTED_VALUE"""),"Available from start.")</f>
        <v>Available from start.</v>
      </c>
      <c r="G12" s="1" t="str">
        <f>IFERROR(__xludf.DUMMYFUNCTION("""COMPUTED_VALUE"""),"*+c*")</f>
        <v>*+c*</v>
      </c>
      <c r="H12" s="1" t="str">
        <f>IFERROR(__xludf.DUMMYFUNCTION("""COMPUTED_VALUE"""),"Indep.")</f>
        <v>Indep.</v>
      </c>
    </row>
    <row r="13">
      <c r="A13" s="1">
        <f>IFERROR(__xludf.DUMMYFUNCTION("""COMPUTED_VALUE"""),12.0)</f>
        <v>12</v>
      </c>
      <c r="B13" s="1" t="str">
        <f>IFERROR(__xludf.DUMMYFUNCTION("""COMPUTED_VALUE"""),"Wily Joker")</f>
        <v>Wily Joker</v>
      </c>
      <c r="C13" s="1" t="str">
        <f>IFERROR(__xludf.DUMMYFUNCTION("""COMPUTED_VALUE"""),"*+100* *Chips* if played hand contains a *Three of a Kind*")</f>
        <v>*+100* *Chips* if played hand contains a *Three of a Kind*</v>
      </c>
      <c r="D13" s="1" t="str">
        <f>IFERROR(__xludf.DUMMYFUNCTION("""COMPUTED_VALUE"""),"*$4*")</f>
        <v>*$4*</v>
      </c>
      <c r="E13" s="1" t="str">
        <f>IFERROR(__xludf.DUMMYFUNCTION("""COMPUTED_VALUE"""),"Common")</f>
        <v>Common</v>
      </c>
      <c r="F13" s="1" t="str">
        <f>IFERROR(__xludf.DUMMYFUNCTION("""COMPUTED_VALUE"""),"Available from start.")</f>
        <v>Available from start.</v>
      </c>
      <c r="G13" s="1" t="str">
        <f>IFERROR(__xludf.DUMMYFUNCTION("""COMPUTED_VALUE"""),"*+c*")</f>
        <v>*+c*</v>
      </c>
      <c r="H13" s="1" t="str">
        <f>IFERROR(__xludf.DUMMYFUNCTION("""COMPUTED_VALUE"""),"Indep.")</f>
        <v>Indep.</v>
      </c>
    </row>
    <row r="14">
      <c r="A14" s="1">
        <f>IFERROR(__xludf.DUMMYFUNCTION("""COMPUTED_VALUE"""),13.0)</f>
        <v>13</v>
      </c>
      <c r="B14" s="1" t="str">
        <f>IFERROR(__xludf.DUMMYFUNCTION("""COMPUTED_VALUE"""),"Clever Joker")</f>
        <v>Clever Joker</v>
      </c>
      <c r="C14" s="1" t="str">
        <f>IFERROR(__xludf.DUMMYFUNCTION("""COMPUTED_VALUE"""),"*+80* *Chips* if played hand contains a *Two Pair*")</f>
        <v>*+80* *Chips* if played hand contains a *Two Pair*</v>
      </c>
      <c r="D14" s="1" t="str">
        <f>IFERROR(__xludf.DUMMYFUNCTION("""COMPUTED_VALUE"""),"*$4*")</f>
        <v>*$4*</v>
      </c>
      <c r="E14" s="1" t="str">
        <f>IFERROR(__xludf.DUMMYFUNCTION("""COMPUTED_VALUE"""),"Common")</f>
        <v>Common</v>
      </c>
      <c r="F14" s="1" t="str">
        <f>IFERROR(__xludf.DUMMYFUNCTION("""COMPUTED_VALUE"""),"Available from start.")</f>
        <v>Available from start.</v>
      </c>
      <c r="G14" s="1" t="str">
        <f>IFERROR(__xludf.DUMMYFUNCTION("""COMPUTED_VALUE"""),"*+c*")</f>
        <v>*+c*</v>
      </c>
      <c r="H14" s="1" t="str">
        <f>IFERROR(__xludf.DUMMYFUNCTION("""COMPUTED_VALUE"""),"Indep.")</f>
        <v>Indep.</v>
      </c>
    </row>
    <row r="15">
      <c r="A15" s="1">
        <f>IFERROR(__xludf.DUMMYFUNCTION("""COMPUTED_VALUE"""),14.0)</f>
        <v>14</v>
      </c>
      <c r="B15" s="1" t="str">
        <f>IFERROR(__xludf.DUMMYFUNCTION("""COMPUTED_VALUE"""),"Devious Joker")</f>
        <v>Devious Joker</v>
      </c>
      <c r="C15" s="1" t="str">
        <f>IFERROR(__xludf.DUMMYFUNCTION("""COMPUTED_VALUE"""),"*+100* *Chips* if played hand contains a *Straight*")</f>
        <v>*+100* *Chips* if played hand contains a *Straight*</v>
      </c>
      <c r="D15" s="1" t="str">
        <f>IFERROR(__xludf.DUMMYFUNCTION("""COMPUTED_VALUE"""),"*$4*")</f>
        <v>*$4*</v>
      </c>
      <c r="E15" s="1" t="str">
        <f>IFERROR(__xludf.DUMMYFUNCTION("""COMPUTED_VALUE"""),"Common")</f>
        <v>Common</v>
      </c>
      <c r="F15" s="1" t="str">
        <f>IFERROR(__xludf.DUMMYFUNCTION("""COMPUTED_VALUE"""),"Available from start.")</f>
        <v>Available from start.</v>
      </c>
      <c r="G15" s="1" t="str">
        <f>IFERROR(__xludf.DUMMYFUNCTION("""COMPUTED_VALUE"""),"*+c*")</f>
        <v>*+c*</v>
      </c>
      <c r="H15" s="1" t="str">
        <f>IFERROR(__xludf.DUMMYFUNCTION("""COMPUTED_VALUE"""),"Indep.")</f>
        <v>Indep.</v>
      </c>
    </row>
    <row r="16">
      <c r="A16" s="1">
        <f>IFERROR(__xludf.DUMMYFUNCTION("""COMPUTED_VALUE"""),15.0)</f>
        <v>15</v>
      </c>
      <c r="B16" s="1" t="str">
        <f>IFERROR(__xludf.DUMMYFUNCTION("""COMPUTED_VALUE"""),"Crafty Joker")</f>
        <v>Crafty Joker</v>
      </c>
      <c r="C16" s="1" t="str">
        <f>IFERROR(__xludf.DUMMYFUNCTION("""COMPUTED_VALUE"""),"*+80* *Chips* if played hand contains a *Flush*")</f>
        <v>*+80* *Chips* if played hand contains a *Flush*</v>
      </c>
      <c r="D16" s="1" t="str">
        <f>IFERROR(__xludf.DUMMYFUNCTION("""COMPUTED_VALUE"""),"*$4*")</f>
        <v>*$4*</v>
      </c>
      <c r="E16" s="1" t="str">
        <f>IFERROR(__xludf.DUMMYFUNCTION("""COMPUTED_VALUE"""),"Common")</f>
        <v>Common</v>
      </c>
      <c r="F16" s="1" t="str">
        <f>IFERROR(__xludf.DUMMYFUNCTION("""COMPUTED_VALUE"""),"Available from start.")</f>
        <v>Available from start.</v>
      </c>
      <c r="G16" s="1" t="str">
        <f>IFERROR(__xludf.DUMMYFUNCTION("""COMPUTED_VALUE"""),"*+c*")</f>
        <v>*+c*</v>
      </c>
      <c r="H16" s="1" t="str">
        <f>IFERROR(__xludf.DUMMYFUNCTION("""COMPUTED_VALUE"""),"Indep.")</f>
        <v>Indep.</v>
      </c>
    </row>
    <row r="17">
      <c r="A17" s="1">
        <f>IFERROR(__xludf.DUMMYFUNCTION("""COMPUTED_VALUE"""),16.0)</f>
        <v>16</v>
      </c>
      <c r="B17" s="1" t="str">
        <f>IFERROR(__xludf.DUMMYFUNCTION("""COMPUTED_VALUE"""),"Half Joker")</f>
        <v>Half Joker</v>
      </c>
      <c r="C17" s="1" t="str">
        <f>IFERROR(__xludf.DUMMYFUNCTION("""COMPUTED_VALUE"""),"*+20 Mult* if played hand contains *3* or fewer cards")</f>
        <v>*+20 Mult* if played hand contains *3* or fewer cards</v>
      </c>
      <c r="D17" s="1" t="str">
        <f>IFERROR(__xludf.DUMMYFUNCTION("""COMPUTED_VALUE"""),"*$5*")</f>
        <v>*$5*</v>
      </c>
      <c r="E17" s="1" t="str">
        <f>IFERROR(__xludf.DUMMYFUNCTION("""COMPUTED_VALUE"""),"Common")</f>
        <v>Common</v>
      </c>
      <c r="F17" s="1" t="str">
        <f>IFERROR(__xludf.DUMMYFUNCTION("""COMPUTED_VALUE"""),"Available from start.")</f>
        <v>Available from start.</v>
      </c>
      <c r="G17" s="1" t="str">
        <f>IFERROR(__xludf.DUMMYFUNCTION("""COMPUTED_VALUE"""),"*+m*")</f>
        <v>*+m*</v>
      </c>
      <c r="H17" s="1" t="str">
        <f>IFERROR(__xludf.DUMMYFUNCTION("""COMPUTED_VALUE"""),"Indep.")</f>
        <v>Indep.</v>
      </c>
    </row>
    <row r="18">
      <c r="A18" s="1">
        <f>IFERROR(__xludf.DUMMYFUNCTION("""COMPUTED_VALUE"""),17.0)</f>
        <v>17</v>
      </c>
      <c r="B18" s="1" t="str">
        <f>IFERROR(__xludf.DUMMYFUNCTION("""COMPUTED_VALUE"""),"Joker Stencil")</f>
        <v>Joker Stencil</v>
      </c>
      <c r="C18" s="1" t="str">
        <f>IFERROR(__xludf.DUMMYFUNCTION("""COMPUTED_VALUE"""),"*X1 Mult* for each empty *Joker* slot. *Joker Stencil* included 
*(Currently X1)*")</f>
        <v>*X1 Mult* for each empty *Joker* slot. *Joker Stencil* included 
*(Currently X1)*</v>
      </c>
      <c r="D18" s="1" t="str">
        <f>IFERROR(__xludf.DUMMYFUNCTION("""COMPUTED_VALUE"""),"*$8*")</f>
        <v>*$8*</v>
      </c>
      <c r="E18" s="1" t="str">
        <f>IFERROR(__xludf.DUMMYFUNCTION("""COMPUTED_VALUE"""),"Uncommon")</f>
        <v>Uncommon</v>
      </c>
      <c r="F18" s="1" t="str">
        <f>IFERROR(__xludf.DUMMYFUNCTION("""COMPUTED_VALUE"""),"Available from start.")</f>
        <v>Available from start.</v>
      </c>
      <c r="G18" s="1" t="str">
        <f>IFERROR(__xludf.DUMMYFUNCTION("""COMPUTED_VALUE"""),"*Xm*")</f>
        <v>*Xm*</v>
      </c>
      <c r="H18" s="1" t="str">
        <f>IFERROR(__xludf.DUMMYFUNCTION("""COMPUTED_VALUE"""),"Indep.")</f>
        <v>Indep.</v>
      </c>
    </row>
    <row r="19">
      <c r="A19" s="1">
        <f>IFERROR(__xludf.DUMMYFUNCTION("""COMPUTED_VALUE"""),18.0)</f>
        <v>18</v>
      </c>
      <c r="B19" s="1" t="str">
        <f>IFERROR(__xludf.DUMMYFUNCTION("""COMPUTED_VALUE"""),"Four Fingers")</f>
        <v>Four Fingers</v>
      </c>
      <c r="C19" s="1" t="str">
        <f>IFERROR(__xludf.DUMMYFUNCTION("""COMPUTED_VALUE"""),"All *Flushes* and *Straights* can be made with 4 cards")</f>
        <v>All *Flushes* and *Straights* can be made with 4 cards</v>
      </c>
      <c r="D19" s="1" t="str">
        <f>IFERROR(__xludf.DUMMYFUNCTION("""COMPUTED_VALUE"""),"*$7*")</f>
        <v>*$7*</v>
      </c>
      <c r="E19" s="1" t="str">
        <f>IFERROR(__xludf.DUMMYFUNCTION("""COMPUTED_VALUE"""),"Uncommon")</f>
        <v>Uncommon</v>
      </c>
      <c r="F19" s="1" t="str">
        <f>IFERROR(__xludf.DUMMYFUNCTION("""COMPUTED_VALUE"""),"Available from start.")</f>
        <v>Available from start.</v>
      </c>
      <c r="G19" s="1" t="str">
        <f>IFERROR(__xludf.DUMMYFUNCTION("""COMPUTED_VALUE"""),"*!!*")</f>
        <v>*!!*</v>
      </c>
      <c r="H19" s="1" t="str">
        <f>IFERROR(__xludf.DUMMYFUNCTION("""COMPUTED_VALUE"""),"N/A")</f>
        <v>N/A</v>
      </c>
    </row>
    <row r="20">
      <c r="A20" s="1">
        <f>IFERROR(__xludf.DUMMYFUNCTION("""COMPUTED_VALUE"""),19.0)</f>
        <v>19</v>
      </c>
      <c r="B20" s="1" t="str">
        <f>IFERROR(__xludf.DUMMYFUNCTION("""COMPUTED_VALUE"""),"Mime")</f>
        <v>Mime</v>
      </c>
      <c r="C20" s="1" t="str">
        <f>IFERROR(__xludf.DUMMYFUNCTION("""COMPUTED_VALUE"""),"Retrigger all card *held in hand* abilities")</f>
        <v>Retrigger all card *held in hand* abilities</v>
      </c>
      <c r="D20" s="1" t="str">
        <f>IFERROR(__xludf.DUMMYFUNCTION("""COMPUTED_VALUE"""),"*$5*")</f>
        <v>*$5*</v>
      </c>
      <c r="E20" s="1" t="str">
        <f>IFERROR(__xludf.DUMMYFUNCTION("""COMPUTED_VALUE"""),"Uncommon")</f>
        <v>Uncommon</v>
      </c>
      <c r="F20" s="1" t="str">
        <f>IFERROR(__xludf.DUMMYFUNCTION("""COMPUTED_VALUE"""),"Available from start.")</f>
        <v>Available from start.</v>
      </c>
      <c r="G20" s="1" t="str">
        <f>IFERROR(__xludf.DUMMYFUNCTION("""COMPUTED_VALUE"""),"*...*")</f>
        <v>*...*</v>
      </c>
      <c r="H20" s="1" t="str">
        <f>IFERROR(__xludf.DUMMYFUNCTION("""COMPUTED_VALUE"""),"On Held")</f>
        <v>On Held</v>
      </c>
    </row>
    <row r="21">
      <c r="A21" s="1">
        <f>IFERROR(__xludf.DUMMYFUNCTION("""COMPUTED_VALUE"""),20.0)</f>
        <v>20</v>
      </c>
      <c r="B21" s="1" t="str">
        <f>IFERROR(__xludf.DUMMYFUNCTION("""COMPUTED_VALUE"""),"Credit Card")</f>
        <v>Credit Card</v>
      </c>
      <c r="C21" s="1" t="str">
        <f>IFERROR(__xludf.DUMMYFUNCTION("""COMPUTED_VALUE"""),"Go up to *-$20* in debt")</f>
        <v>Go up to *-$20* in debt</v>
      </c>
      <c r="D21" s="1" t="str">
        <f>IFERROR(__xludf.DUMMYFUNCTION("""COMPUTED_VALUE"""),"*$1*")</f>
        <v>*$1*</v>
      </c>
      <c r="E21" s="1" t="str">
        <f>IFERROR(__xludf.DUMMYFUNCTION("""COMPUTED_VALUE"""),"Common")</f>
        <v>Common</v>
      </c>
      <c r="F21" s="1" t="str">
        <f>IFERROR(__xludf.DUMMYFUNCTION("""COMPUTED_VALUE"""),"Available from start.")</f>
        <v>Available from start.</v>
      </c>
      <c r="G21" s="1" t="str">
        <f>IFERROR(__xludf.DUMMYFUNCTION("""COMPUTED_VALUE"""),"*+$*")</f>
        <v>*+$*</v>
      </c>
      <c r="H21" s="1" t="str">
        <f>IFERROR(__xludf.DUMMYFUNCTION("""COMPUTED_VALUE"""),"N/A")</f>
        <v>N/A</v>
      </c>
    </row>
    <row r="22">
      <c r="A22" s="1">
        <f>IFERROR(__xludf.DUMMYFUNCTION("""COMPUTED_VALUE"""),21.0)</f>
        <v>21</v>
      </c>
      <c r="B22" s="1" t="str">
        <f>IFERROR(__xludf.DUMMYFUNCTION("""COMPUTED_VALUE"""),"Ceremonial Dagger")</f>
        <v>Ceremonial Dagger</v>
      </c>
      <c r="C22" s="1" t="str">
        <f>IFERROR(__xludf.DUMMYFUNCTION("""COMPUTED_VALUE"""),"When *Blind* is selected, destroy *Joker* to the right and permanently add 
*double* its sell value to it's *Mult**(Currently +0 Mult)*")</f>
        <v>When *Blind* is selected, destroy *Joker* to the right and permanently add 
*double* its sell value to it's *Mult**(Currently +0 Mult)*</v>
      </c>
      <c r="D22" s="1" t="str">
        <f>IFERROR(__xludf.DUMMYFUNCTION("""COMPUTED_VALUE"""),"*$6*")</f>
        <v>*$6*</v>
      </c>
      <c r="E22" s="1" t="str">
        <f>IFERROR(__xludf.DUMMYFUNCTION("""COMPUTED_VALUE"""),"Uncommon")</f>
        <v>Uncommon</v>
      </c>
      <c r="F22" s="1" t="str">
        <f>IFERROR(__xludf.DUMMYFUNCTION("""COMPUTED_VALUE"""),"Available from start.")</f>
        <v>Available from start.</v>
      </c>
      <c r="G22" s="1" t="str">
        <f>IFERROR(__xludf.DUMMYFUNCTION("""COMPUTED_VALUE"""),"*+m*")</f>
        <v>*+m*</v>
      </c>
      <c r="H22" s="1" t="str">
        <f>IFERROR(__xludf.DUMMYFUNCTION("""COMPUTED_VALUE"""),"Indep.")</f>
        <v>Indep.</v>
      </c>
    </row>
    <row r="23">
      <c r="A23" s="1">
        <f>IFERROR(__xludf.DUMMYFUNCTION("""COMPUTED_VALUE"""),22.0)</f>
        <v>22</v>
      </c>
      <c r="B23" s="1" t="str">
        <f>IFERROR(__xludf.DUMMYFUNCTION("""COMPUTED_VALUE"""),"Banner")</f>
        <v>Banner</v>
      </c>
      <c r="C23" s="1" t="str">
        <f>IFERROR(__xludf.DUMMYFUNCTION("""COMPUTED_VALUE"""),"*+30* *Chips* for each remaining *discard*")</f>
        <v>*+30* *Chips* for each remaining *discard*</v>
      </c>
      <c r="D23" s="1" t="str">
        <f>IFERROR(__xludf.DUMMYFUNCTION("""COMPUTED_VALUE"""),"*$5*")</f>
        <v>*$5*</v>
      </c>
      <c r="E23" s="1" t="str">
        <f>IFERROR(__xludf.DUMMYFUNCTION("""COMPUTED_VALUE"""),"Common")</f>
        <v>Common</v>
      </c>
      <c r="F23" s="1" t="str">
        <f>IFERROR(__xludf.DUMMYFUNCTION("""COMPUTED_VALUE"""),"Available from start.")</f>
        <v>Available from start.</v>
      </c>
      <c r="G23" s="1" t="str">
        <f>IFERROR(__xludf.DUMMYFUNCTION("""COMPUTED_VALUE"""),"*+c*")</f>
        <v>*+c*</v>
      </c>
      <c r="H23" s="1" t="str">
        <f>IFERROR(__xludf.DUMMYFUNCTION("""COMPUTED_VALUE"""),"Indep.")</f>
        <v>Indep.</v>
      </c>
    </row>
    <row r="24">
      <c r="A24" s="1">
        <f>IFERROR(__xludf.DUMMYFUNCTION("""COMPUTED_VALUE"""),23.0)</f>
        <v>23</v>
      </c>
      <c r="B24" s="1" t="str">
        <f>IFERROR(__xludf.DUMMYFUNCTION("""COMPUTED_VALUE"""),"Mystic Summit")</f>
        <v>Mystic Summit</v>
      </c>
      <c r="C24" s="1" t="str">
        <f>IFERROR(__xludf.DUMMYFUNCTION("""COMPUTED_VALUE"""),"*+15 Mult* when *0* discards remaining")</f>
        <v>*+15 Mult* when *0* discards remaining</v>
      </c>
      <c r="D24" s="1" t="str">
        <f>IFERROR(__xludf.DUMMYFUNCTION("""COMPUTED_VALUE"""),"*$5*")</f>
        <v>*$5*</v>
      </c>
      <c r="E24" s="1" t="str">
        <f>IFERROR(__xludf.DUMMYFUNCTION("""COMPUTED_VALUE"""),"Common")</f>
        <v>Common</v>
      </c>
      <c r="F24" s="1" t="str">
        <f>IFERROR(__xludf.DUMMYFUNCTION("""COMPUTED_VALUE"""),"Available from start.")</f>
        <v>Available from start.</v>
      </c>
      <c r="G24" s="1" t="str">
        <f>IFERROR(__xludf.DUMMYFUNCTION("""COMPUTED_VALUE"""),"*+m*")</f>
        <v>*+m*</v>
      </c>
      <c r="H24" s="1" t="str">
        <f>IFERROR(__xludf.DUMMYFUNCTION("""COMPUTED_VALUE"""),"Indep.")</f>
        <v>Indep.</v>
      </c>
    </row>
    <row r="25">
      <c r="A25" s="1">
        <f>IFERROR(__xludf.DUMMYFUNCTION("""COMPUTED_VALUE"""),24.0)</f>
        <v>24</v>
      </c>
      <c r="B25" s="1" t="str">
        <f>IFERROR(__xludf.DUMMYFUNCTION("""COMPUTED_VALUE"""),"Marble Joker")</f>
        <v>Marble Joker</v>
      </c>
      <c r="C25" s="1" t="str">
        <f>IFERROR(__xludf.DUMMYFUNCTION("""COMPUTED_VALUE"""),"Adds one *Stone* card to the deck when *Blind* is selected")</f>
        <v>Adds one *Stone* card to the deck when *Blind* is selected</v>
      </c>
      <c r="D25" s="1" t="str">
        <f>IFERROR(__xludf.DUMMYFUNCTION("""COMPUTED_VALUE"""),"*$6*")</f>
        <v>*$6*</v>
      </c>
      <c r="E25" s="1" t="str">
        <f>IFERROR(__xludf.DUMMYFUNCTION("""COMPUTED_VALUE"""),"Uncommon")</f>
        <v>Uncommon</v>
      </c>
      <c r="F25" s="1" t="str">
        <f>IFERROR(__xludf.DUMMYFUNCTION("""COMPUTED_VALUE"""),"Available from start.")</f>
        <v>Available from start.</v>
      </c>
      <c r="G25" s="1" t="str">
        <f>IFERROR(__xludf.DUMMYFUNCTION("""COMPUTED_VALUE"""),"*!!*")</f>
        <v>*!!*</v>
      </c>
      <c r="H25" s="1" t="str">
        <f>IFERROR(__xludf.DUMMYFUNCTION("""COMPUTED_VALUE"""),"N/A")</f>
        <v>N/A</v>
      </c>
    </row>
    <row r="26">
      <c r="A26" s="1">
        <f>IFERROR(__xludf.DUMMYFUNCTION("""COMPUTED_VALUE"""),25.0)</f>
        <v>25</v>
      </c>
      <c r="B26" s="1" t="str">
        <f>IFERROR(__xludf.DUMMYFUNCTION("""COMPUTED_VALUE"""),"Loyalty Card")</f>
        <v>Loyalty Card</v>
      </c>
      <c r="C26" s="1" t="str">
        <f>IFERROR(__xludf.DUMMYFUNCTION("""COMPUTED_VALUE"""),"*X4 Mult* every *6* hands played
*5 remaining*")</f>
        <v>*X4 Mult* every *6* hands played
*5 remaining*</v>
      </c>
      <c r="D26" s="1" t="str">
        <f>IFERROR(__xludf.DUMMYFUNCTION("""COMPUTED_VALUE"""),"*$5*")</f>
        <v>*$5*</v>
      </c>
      <c r="E26" s="1" t="str">
        <f>IFERROR(__xludf.DUMMYFUNCTION("""COMPUTED_VALUE"""),"Uncommon")</f>
        <v>Uncommon</v>
      </c>
      <c r="F26" s="1" t="str">
        <f>IFERROR(__xludf.DUMMYFUNCTION("""COMPUTED_VALUE"""),"Available from start.")</f>
        <v>Available from start.</v>
      </c>
      <c r="G26" s="1" t="str">
        <f>IFERROR(__xludf.DUMMYFUNCTION("""COMPUTED_VALUE"""),"*Xm*")</f>
        <v>*Xm*</v>
      </c>
      <c r="H26" s="1" t="str">
        <f>IFERROR(__xludf.DUMMYFUNCTION("""COMPUTED_VALUE"""),"Indep.")</f>
        <v>Indep.</v>
      </c>
    </row>
    <row r="27">
      <c r="A27" s="1">
        <f>IFERROR(__xludf.DUMMYFUNCTION("""COMPUTED_VALUE"""),26.0)</f>
        <v>26</v>
      </c>
      <c r="B27" s="1" t="str">
        <f>IFERROR(__xludf.DUMMYFUNCTION("""COMPUTED_VALUE"""),"8 Ball")</f>
        <v>8 Ball</v>
      </c>
      <c r="C27" s="1" t="str">
        <f>IFERROR(__xludf.DUMMYFUNCTION("""COMPUTED_VALUE"""),"*1 in 4* chance for each played *8* to create a *Tarot* card when scored
*(Must have room)*")</f>
        <v>*1 in 4* chance for each played *8* to create a *Tarot* card when scored
*(Must have room)*</v>
      </c>
      <c r="D27" s="1" t="str">
        <f>IFERROR(__xludf.DUMMYFUNCTION("""COMPUTED_VALUE"""),"*$5*")</f>
        <v>*$5*</v>
      </c>
      <c r="E27" s="1" t="str">
        <f>IFERROR(__xludf.DUMMYFUNCTION("""COMPUTED_VALUE"""),"Common")</f>
        <v>Common</v>
      </c>
      <c r="F27" s="1" t="str">
        <f>IFERROR(__xludf.DUMMYFUNCTION("""COMPUTED_VALUE"""),"Available from start.")</f>
        <v>Available from start.</v>
      </c>
      <c r="G27" s="1" t="str">
        <f>IFERROR(__xludf.DUMMYFUNCTION("""COMPUTED_VALUE"""),"*!!*")</f>
        <v>*!!*</v>
      </c>
      <c r="H27" s="1" t="str">
        <f>IFERROR(__xludf.DUMMYFUNCTION("""COMPUTED_VALUE"""),"On Scored")</f>
        <v>On Scored</v>
      </c>
    </row>
    <row r="28">
      <c r="A28" s="1">
        <f>IFERROR(__xludf.DUMMYFUNCTION("""COMPUTED_VALUE"""),27.0)</f>
        <v>27</v>
      </c>
      <c r="B28" s="1" t="str">
        <f>IFERROR(__xludf.DUMMYFUNCTION("""COMPUTED_VALUE"""),"Misprint")</f>
        <v>Misprint</v>
      </c>
      <c r="C28" s="1" t="str">
        <f>IFERROR(__xludf.DUMMYFUNCTION("""COMPUTED_VALUE"""),"*+0-23 Mult*")</f>
        <v>*+0-23 Mult*</v>
      </c>
      <c r="D28" s="1" t="str">
        <f>IFERROR(__xludf.DUMMYFUNCTION("""COMPUTED_VALUE"""),"*$4*")</f>
        <v>*$4*</v>
      </c>
      <c r="E28" s="1" t="str">
        <f>IFERROR(__xludf.DUMMYFUNCTION("""COMPUTED_VALUE"""),"Common")</f>
        <v>Common</v>
      </c>
      <c r="F28" s="1" t="str">
        <f>IFERROR(__xludf.DUMMYFUNCTION("""COMPUTED_VALUE"""),"Available from start.")</f>
        <v>Available from start.</v>
      </c>
      <c r="G28" s="1" t="str">
        <f>IFERROR(__xludf.DUMMYFUNCTION("""COMPUTED_VALUE"""),"*+m*")</f>
        <v>*+m*</v>
      </c>
      <c r="H28" s="1" t="str">
        <f>IFERROR(__xludf.DUMMYFUNCTION("""COMPUTED_VALUE"""),"Indep.")</f>
        <v>Indep.</v>
      </c>
    </row>
    <row r="29">
      <c r="A29" s="1">
        <f>IFERROR(__xludf.DUMMYFUNCTION("""COMPUTED_VALUE"""),28.0)</f>
        <v>28</v>
      </c>
      <c r="B29" s="1" t="str">
        <f>IFERROR(__xludf.DUMMYFUNCTION("""COMPUTED_VALUE"""),"Dusk")</f>
        <v>Dusk</v>
      </c>
      <c r="C29" s="1" t="str">
        <f>IFERROR(__xludf.DUMMYFUNCTION("""COMPUTED_VALUE"""),"Retrigger all played cards in *final hand* of the round")</f>
        <v>Retrigger all played cards in *final hand* of the round</v>
      </c>
      <c r="D29" s="1" t="str">
        <f>IFERROR(__xludf.DUMMYFUNCTION("""COMPUTED_VALUE"""),"*$5*")</f>
        <v>*$5*</v>
      </c>
      <c r="E29" s="1" t="str">
        <f>IFERROR(__xludf.DUMMYFUNCTION("""COMPUTED_VALUE"""),"Uncommon")</f>
        <v>Uncommon</v>
      </c>
      <c r="F29" s="1" t="str">
        <f>IFERROR(__xludf.DUMMYFUNCTION("""COMPUTED_VALUE"""),"Available from start.")</f>
        <v>Available from start.</v>
      </c>
      <c r="G29" s="1" t="str">
        <f>IFERROR(__xludf.DUMMYFUNCTION("""COMPUTED_VALUE"""),"*...*")</f>
        <v>*...*</v>
      </c>
      <c r="H29" s="1" t="str">
        <f>IFERROR(__xludf.DUMMYFUNCTION("""COMPUTED_VALUE"""),"On Scored")</f>
        <v>On Scored</v>
      </c>
    </row>
    <row r="30">
      <c r="A30" s="1">
        <f>IFERROR(__xludf.DUMMYFUNCTION("""COMPUTED_VALUE"""),29.0)</f>
        <v>29</v>
      </c>
      <c r="B30" s="1" t="str">
        <f>IFERROR(__xludf.DUMMYFUNCTION("""COMPUTED_VALUE"""),"Raised Fist")</f>
        <v>Raised Fist</v>
      </c>
      <c r="C30" s="1" t="str">
        <f>IFERROR(__xludf.DUMMYFUNCTION("""COMPUTED_VALUE"""),"Adds *double* the rank of *lowest* ranked card held in hand to Mult")</f>
        <v>Adds *double* the rank of *lowest* ranked card held in hand to Mult</v>
      </c>
      <c r="D30" s="1" t="str">
        <f>IFERROR(__xludf.DUMMYFUNCTION("""COMPUTED_VALUE"""),"*$5*")</f>
        <v>*$5*</v>
      </c>
      <c r="E30" s="1" t="str">
        <f>IFERROR(__xludf.DUMMYFUNCTION("""COMPUTED_VALUE"""),"Common")</f>
        <v>Common</v>
      </c>
      <c r="F30" s="1" t="str">
        <f>IFERROR(__xludf.DUMMYFUNCTION("""COMPUTED_VALUE"""),"Available from start.")</f>
        <v>Available from start.</v>
      </c>
      <c r="G30" s="1" t="str">
        <f>IFERROR(__xludf.DUMMYFUNCTION("""COMPUTED_VALUE"""),"*+m*")</f>
        <v>*+m*</v>
      </c>
      <c r="H30" s="1" t="str">
        <f>IFERROR(__xludf.DUMMYFUNCTION("""COMPUTED_VALUE"""),"On Held")</f>
        <v>On Held</v>
      </c>
    </row>
    <row r="31">
      <c r="A31" s="1">
        <f>IFERROR(__xludf.DUMMYFUNCTION("""COMPUTED_VALUE"""),30.0)</f>
        <v>30</v>
      </c>
      <c r="B31" s="1" t="str">
        <f>IFERROR(__xludf.DUMMYFUNCTION("""COMPUTED_VALUE"""),"Chaos the Clown")</f>
        <v>Chaos the Clown</v>
      </c>
      <c r="C31" s="1" t="str">
        <f>IFERROR(__xludf.DUMMYFUNCTION("""COMPUTED_VALUE"""),"*1* free *Reroll* per shop")</f>
        <v>*1* free *Reroll* per shop</v>
      </c>
      <c r="D31" s="1" t="str">
        <f>IFERROR(__xludf.DUMMYFUNCTION("""COMPUTED_VALUE"""),"*$4*")</f>
        <v>*$4*</v>
      </c>
      <c r="E31" s="1" t="str">
        <f>IFERROR(__xludf.DUMMYFUNCTION("""COMPUTED_VALUE"""),"Common")</f>
        <v>Common</v>
      </c>
      <c r="F31" s="1" t="str">
        <f>IFERROR(__xludf.DUMMYFUNCTION("""COMPUTED_VALUE"""),"Available from start.")</f>
        <v>Available from start.</v>
      </c>
      <c r="G31" s="1" t="str">
        <f>IFERROR(__xludf.DUMMYFUNCTION("""COMPUTED_VALUE"""),"*!!*")</f>
        <v>*!!*</v>
      </c>
      <c r="H31" s="1" t="str">
        <f>IFERROR(__xludf.DUMMYFUNCTION("""COMPUTED_VALUE"""),"N/A")</f>
        <v>N/A</v>
      </c>
    </row>
    <row r="32">
      <c r="A32" s="1">
        <f>IFERROR(__xludf.DUMMYFUNCTION("""COMPUTED_VALUE"""),31.0)</f>
        <v>31</v>
      </c>
      <c r="B32" s="1" t="str">
        <f>IFERROR(__xludf.DUMMYFUNCTION("""COMPUTED_VALUE"""),"Fibonacci")</f>
        <v>Fibonacci</v>
      </c>
      <c r="C32" s="1" t="str">
        <f>IFERROR(__xludf.DUMMYFUNCTION("""COMPUTED_VALUE"""),"Each played *Ace*, *2*, *3*, *5*, or *8* gives *+8 Mult* when scored")</f>
        <v>Each played *Ace*, *2*, *3*, *5*, or *8* gives *+8 Mult* when scored</v>
      </c>
      <c r="D32" s="1" t="str">
        <f>IFERROR(__xludf.DUMMYFUNCTION("""COMPUTED_VALUE"""),"*$8*")</f>
        <v>*$8*</v>
      </c>
      <c r="E32" s="1" t="str">
        <f>IFERROR(__xludf.DUMMYFUNCTION("""COMPUTED_VALUE"""),"Uncommon")</f>
        <v>Uncommon</v>
      </c>
      <c r="F32" s="1" t="str">
        <f>IFERROR(__xludf.DUMMYFUNCTION("""COMPUTED_VALUE"""),"Available from start.")</f>
        <v>Available from start.</v>
      </c>
      <c r="G32" s="1" t="str">
        <f>IFERROR(__xludf.DUMMYFUNCTION("""COMPUTED_VALUE"""),"*+m*")</f>
        <v>*+m*</v>
      </c>
      <c r="H32" s="1" t="str">
        <f>IFERROR(__xludf.DUMMYFUNCTION("""COMPUTED_VALUE"""),"On Scored")</f>
        <v>On Scored</v>
      </c>
    </row>
    <row r="33">
      <c r="A33" s="1">
        <f>IFERROR(__xludf.DUMMYFUNCTION("""COMPUTED_VALUE"""),32.0)</f>
        <v>32</v>
      </c>
      <c r="B33" s="1" t="str">
        <f>IFERROR(__xludf.DUMMYFUNCTION("""COMPUTED_VALUE"""),"Steel Joker")</f>
        <v>Steel Joker</v>
      </c>
      <c r="C33" s="1" t="str">
        <f>IFERROR(__xludf.DUMMYFUNCTION("""COMPUTED_VALUE"""),"Gives *X0.2 Mult* for each *Steel Card* in your *full deck*
*(Currently X1 Mult)*")</f>
        <v>Gives *X0.2 Mult* for each *Steel Card* in your *full deck*
*(Currently X1 Mult)*</v>
      </c>
      <c r="D33" s="1" t="str">
        <f>IFERROR(__xludf.DUMMYFUNCTION("""COMPUTED_VALUE"""),"*$7*")</f>
        <v>*$7*</v>
      </c>
      <c r="E33" s="1" t="str">
        <f>IFERROR(__xludf.DUMMYFUNCTION("""COMPUTED_VALUE"""),"Uncommon")</f>
        <v>Uncommon</v>
      </c>
      <c r="F33" s="1" t="str">
        <f>IFERROR(__xludf.DUMMYFUNCTION("""COMPUTED_VALUE"""),"Available from start. (Can only appear in the shop when there is a Steel 
Card in the deck.)")</f>
        <v>Available from start. (Can only appear in the shop when there is a Steel 
Card in the deck.)</v>
      </c>
      <c r="G33" s="1" t="str">
        <f>IFERROR(__xludf.DUMMYFUNCTION("""COMPUTED_VALUE"""),"*Xm*")</f>
        <v>*Xm*</v>
      </c>
      <c r="H33" s="1" t="str">
        <f>IFERROR(__xludf.DUMMYFUNCTION("""COMPUTED_VALUE"""),"Indep.")</f>
        <v>Indep.</v>
      </c>
    </row>
    <row r="34">
      <c r="A34" s="1">
        <f>IFERROR(__xludf.DUMMYFUNCTION("""COMPUTED_VALUE"""),33.0)</f>
        <v>33</v>
      </c>
      <c r="B34" s="1" t="str">
        <f>IFERROR(__xludf.DUMMYFUNCTION("""COMPUTED_VALUE"""),"Scary Face")</f>
        <v>Scary Face</v>
      </c>
      <c r="C34" s="1" t="str">
        <f>IFERROR(__xludf.DUMMYFUNCTION("""COMPUTED_VALUE"""),"Played *face* cards give *+30* *Chips* when scored")</f>
        <v>Played *face* cards give *+30* *Chips* when scored</v>
      </c>
      <c r="D34" s="1" t="str">
        <f>IFERROR(__xludf.DUMMYFUNCTION("""COMPUTED_VALUE"""),"*$4*")</f>
        <v>*$4*</v>
      </c>
      <c r="E34" s="1" t="str">
        <f>IFERROR(__xludf.DUMMYFUNCTION("""COMPUTED_VALUE"""),"Common")</f>
        <v>Common</v>
      </c>
      <c r="F34" s="1" t="str">
        <f>IFERROR(__xludf.DUMMYFUNCTION("""COMPUTED_VALUE"""),"Available from start.")</f>
        <v>Available from start.</v>
      </c>
      <c r="G34" s="1" t="str">
        <f>IFERROR(__xludf.DUMMYFUNCTION("""COMPUTED_VALUE"""),"*+c*")</f>
        <v>*+c*</v>
      </c>
      <c r="H34" s="1" t="str">
        <f>IFERROR(__xludf.DUMMYFUNCTION("""COMPUTED_VALUE"""),"On Scored")</f>
        <v>On Scored</v>
      </c>
    </row>
    <row r="35">
      <c r="A35" s="1">
        <f>IFERROR(__xludf.DUMMYFUNCTION("""COMPUTED_VALUE"""),34.0)</f>
        <v>34</v>
      </c>
      <c r="B35" s="1" t="str">
        <f>IFERROR(__xludf.DUMMYFUNCTION("""COMPUTED_VALUE"""),"Abstract Joker")</f>
        <v>Abstract Joker</v>
      </c>
      <c r="C35" s="1" t="str">
        <f>IFERROR(__xludf.DUMMYFUNCTION("""COMPUTED_VALUE"""),"*+3 Mult* for each *Joker* card 
*(Currently +0 Mult)*")</f>
        <v>*+3 Mult* for each *Joker* card 
*(Currently +0 Mult)*</v>
      </c>
      <c r="D35" s="1" t="str">
        <f>IFERROR(__xludf.DUMMYFUNCTION("""COMPUTED_VALUE"""),"*$4*")</f>
        <v>*$4*</v>
      </c>
      <c r="E35" s="1" t="str">
        <f>IFERROR(__xludf.DUMMYFUNCTION("""COMPUTED_VALUE"""),"Common")</f>
        <v>Common</v>
      </c>
      <c r="F35" s="1" t="str">
        <f>IFERROR(__xludf.DUMMYFUNCTION("""COMPUTED_VALUE"""),"Available from start.")</f>
        <v>Available from start.</v>
      </c>
      <c r="G35" s="1" t="str">
        <f>IFERROR(__xludf.DUMMYFUNCTION("""COMPUTED_VALUE"""),"*+m*")</f>
        <v>*+m*</v>
      </c>
      <c r="H35" s="1" t="str">
        <f>IFERROR(__xludf.DUMMYFUNCTION("""COMPUTED_VALUE"""),"Indep.")</f>
        <v>Indep.</v>
      </c>
    </row>
    <row r="36">
      <c r="A36" s="1">
        <f>IFERROR(__xludf.DUMMYFUNCTION("""COMPUTED_VALUE"""),35.0)</f>
        <v>35</v>
      </c>
      <c r="B36" s="1" t="str">
        <f>IFERROR(__xludf.DUMMYFUNCTION("""COMPUTED_VALUE"""),"Delayed Gratification")</f>
        <v>Delayed Gratification</v>
      </c>
      <c r="C36" s="1" t="str">
        <f>IFERROR(__xludf.DUMMYFUNCTION("""COMPUTED_VALUE"""),"Earn *$2* per *discard* if no discards are used by end of the round")</f>
        <v>Earn *$2* per *discard* if no discards are used by end of the round</v>
      </c>
      <c r="D36" s="1" t="str">
        <f>IFERROR(__xludf.DUMMYFUNCTION("""COMPUTED_VALUE"""),"*$4*")</f>
        <v>*$4*</v>
      </c>
      <c r="E36" s="1" t="str">
        <f>IFERROR(__xludf.DUMMYFUNCTION("""COMPUTED_VALUE"""),"Common")</f>
        <v>Common</v>
      </c>
      <c r="F36" s="1" t="str">
        <f>IFERROR(__xludf.DUMMYFUNCTION("""COMPUTED_VALUE"""),"Available from start.")</f>
        <v>Available from start.</v>
      </c>
      <c r="G36" s="1" t="str">
        <f>IFERROR(__xludf.DUMMYFUNCTION("""COMPUTED_VALUE"""),"*+$*")</f>
        <v>*+$*</v>
      </c>
      <c r="H36" s="1" t="str">
        <f>IFERROR(__xludf.DUMMYFUNCTION("""COMPUTED_VALUE"""),"N/A")</f>
        <v>N/A</v>
      </c>
    </row>
    <row r="37">
      <c r="A37" s="1">
        <f>IFERROR(__xludf.DUMMYFUNCTION("""COMPUTED_VALUE"""),36.0)</f>
        <v>36</v>
      </c>
      <c r="B37" s="1" t="str">
        <f>IFERROR(__xludf.DUMMYFUNCTION("""COMPUTED_VALUE"""),"Hack")</f>
        <v>Hack</v>
      </c>
      <c r="C37" s="1" t="str">
        <f>IFERROR(__xludf.DUMMYFUNCTION("""COMPUTED_VALUE"""),"Retrigger each played *2*, *3*, *4*, or *5*")</f>
        <v>Retrigger each played *2*, *3*, *4*, or *5*</v>
      </c>
      <c r="D37" s="1" t="str">
        <f>IFERROR(__xludf.DUMMYFUNCTION("""COMPUTED_VALUE"""),"*$6*")</f>
        <v>*$6*</v>
      </c>
      <c r="E37" s="1" t="str">
        <f>IFERROR(__xludf.DUMMYFUNCTION("""COMPUTED_VALUE"""),"Uncommon")</f>
        <v>Uncommon</v>
      </c>
      <c r="F37" s="1" t="str">
        <f>IFERROR(__xludf.DUMMYFUNCTION("""COMPUTED_VALUE"""),"Available from start.")</f>
        <v>Available from start.</v>
      </c>
      <c r="G37" s="1" t="str">
        <f>IFERROR(__xludf.DUMMYFUNCTION("""COMPUTED_VALUE"""),"*...*")</f>
        <v>*...*</v>
      </c>
      <c r="H37" s="1" t="str">
        <f>IFERROR(__xludf.DUMMYFUNCTION("""COMPUTED_VALUE"""),"On Scored")</f>
        <v>On Scored</v>
      </c>
    </row>
    <row r="38">
      <c r="A38" s="1">
        <f>IFERROR(__xludf.DUMMYFUNCTION("""COMPUTED_VALUE"""),37.0)</f>
        <v>37</v>
      </c>
      <c r="B38" s="1" t="str">
        <f>IFERROR(__xludf.DUMMYFUNCTION("""COMPUTED_VALUE"""),"Pareidolia")</f>
        <v>Pareidolia</v>
      </c>
      <c r="C38" s="1" t="str">
        <f>IFERROR(__xludf.DUMMYFUNCTION("""COMPUTED_VALUE"""),"All cards are considered *face* cards")</f>
        <v>All cards are considered *face* cards</v>
      </c>
      <c r="D38" s="1" t="str">
        <f>IFERROR(__xludf.DUMMYFUNCTION("""COMPUTED_VALUE"""),"*$5*")</f>
        <v>*$5*</v>
      </c>
      <c r="E38" s="1" t="str">
        <f>IFERROR(__xludf.DUMMYFUNCTION("""COMPUTED_VALUE"""),"Uncommon")</f>
        <v>Uncommon</v>
      </c>
      <c r="F38" s="1" t="str">
        <f>IFERROR(__xludf.DUMMYFUNCTION("""COMPUTED_VALUE"""),"Available from start.")</f>
        <v>Available from start.</v>
      </c>
      <c r="G38" s="1" t="str">
        <f>IFERROR(__xludf.DUMMYFUNCTION("""COMPUTED_VALUE"""),"*!!*")</f>
        <v>*!!*</v>
      </c>
      <c r="H38" s="1" t="str">
        <f>IFERROR(__xludf.DUMMYFUNCTION("""COMPUTED_VALUE"""),"N/A")</f>
        <v>N/A</v>
      </c>
    </row>
    <row r="39">
      <c r="A39" s="1">
        <f>IFERROR(__xludf.DUMMYFUNCTION("""COMPUTED_VALUE"""),38.0)</f>
        <v>38</v>
      </c>
      <c r="B39" s="1" t="str">
        <f>IFERROR(__xludf.DUMMYFUNCTION("""COMPUTED_VALUE"""),"Gros Michel")</f>
        <v>Gros Michel</v>
      </c>
      <c r="C39" s="1" t="str">
        <f>IFERROR(__xludf.DUMMYFUNCTION("""COMPUTED_VALUE"""),"*+15 Mult*
*1 in 6* chance this is destroyed at the end of round.")</f>
        <v>*+15 Mult*
*1 in 6* chance this is destroyed at the end of round.</v>
      </c>
      <c r="D39" s="1" t="str">
        <f>IFERROR(__xludf.DUMMYFUNCTION("""COMPUTED_VALUE"""),"*$5*")</f>
        <v>*$5*</v>
      </c>
      <c r="E39" s="1" t="str">
        <f>IFERROR(__xludf.DUMMYFUNCTION("""COMPUTED_VALUE"""),"Common")</f>
        <v>Common</v>
      </c>
      <c r="F39" s="1" t="str">
        <f>IFERROR(__xludf.DUMMYFUNCTION("""COMPUTED_VALUE"""),"Available from start.")</f>
        <v>Available from start.</v>
      </c>
      <c r="G39" s="1" t="str">
        <f>IFERROR(__xludf.DUMMYFUNCTION("""COMPUTED_VALUE"""),"*+m*")</f>
        <v>*+m*</v>
      </c>
      <c r="H39" s="1" t="str">
        <f>IFERROR(__xludf.DUMMYFUNCTION("""COMPUTED_VALUE"""),"Indep.")</f>
        <v>Indep.</v>
      </c>
    </row>
    <row r="40">
      <c r="A40" s="1">
        <f>IFERROR(__xludf.DUMMYFUNCTION("""COMPUTED_VALUE"""),39.0)</f>
        <v>39</v>
      </c>
      <c r="B40" s="1" t="str">
        <f>IFERROR(__xludf.DUMMYFUNCTION("""COMPUTED_VALUE"""),"Even Steven")</f>
        <v>Even Steven</v>
      </c>
      <c r="C40" s="1" t="str">
        <f>IFERROR(__xludf.DUMMYFUNCTION("""COMPUTED_VALUE"""),"Played cards with *even* rank give *+4 Mult* when scored 
*(10, 8, 6, 4, 2)*")</f>
        <v>Played cards with *even* rank give *+4 Mult* when scored 
*(10, 8, 6, 4, 2)*</v>
      </c>
      <c r="D40" s="1" t="str">
        <f>IFERROR(__xludf.DUMMYFUNCTION("""COMPUTED_VALUE"""),"*$4*")</f>
        <v>*$4*</v>
      </c>
      <c r="E40" s="1" t="str">
        <f>IFERROR(__xludf.DUMMYFUNCTION("""COMPUTED_VALUE"""),"Common")</f>
        <v>Common</v>
      </c>
      <c r="F40" s="1" t="str">
        <f>IFERROR(__xludf.DUMMYFUNCTION("""COMPUTED_VALUE"""),"Available from start.")</f>
        <v>Available from start.</v>
      </c>
      <c r="G40" s="1" t="str">
        <f>IFERROR(__xludf.DUMMYFUNCTION("""COMPUTED_VALUE"""),"*+m*")</f>
        <v>*+m*</v>
      </c>
      <c r="H40" s="1" t="str">
        <f>IFERROR(__xludf.DUMMYFUNCTION("""COMPUTED_VALUE"""),"On Scored")</f>
        <v>On Scored</v>
      </c>
    </row>
    <row r="41">
      <c r="A41" s="1">
        <f>IFERROR(__xludf.DUMMYFUNCTION("""COMPUTED_VALUE"""),40.0)</f>
        <v>40</v>
      </c>
      <c r="B41" s="1" t="str">
        <f>IFERROR(__xludf.DUMMYFUNCTION("""COMPUTED_VALUE"""),"Odd Todd")</f>
        <v>Odd Todd</v>
      </c>
      <c r="C41" s="1" t="str">
        <f>IFERROR(__xludf.DUMMYFUNCTION("""COMPUTED_VALUE"""),"Played cards with *odd* rank give *+31* *Chips* when scored 
*(A, 9, 7, 5, 3)*")</f>
        <v>Played cards with *odd* rank give *+31* *Chips* when scored 
*(A, 9, 7, 5, 3)*</v>
      </c>
      <c r="D41" s="1" t="str">
        <f>IFERROR(__xludf.DUMMYFUNCTION("""COMPUTED_VALUE"""),"*$4*")</f>
        <v>*$4*</v>
      </c>
      <c r="E41" s="1" t="str">
        <f>IFERROR(__xludf.DUMMYFUNCTION("""COMPUTED_VALUE"""),"Common")</f>
        <v>Common</v>
      </c>
      <c r="F41" s="1" t="str">
        <f>IFERROR(__xludf.DUMMYFUNCTION("""COMPUTED_VALUE"""),"Available from start.")</f>
        <v>Available from start.</v>
      </c>
      <c r="G41" s="1" t="str">
        <f>IFERROR(__xludf.DUMMYFUNCTION("""COMPUTED_VALUE"""),"*+c*")</f>
        <v>*+c*</v>
      </c>
      <c r="H41" s="1" t="str">
        <f>IFERROR(__xludf.DUMMYFUNCTION("""COMPUTED_VALUE"""),"On Scored")</f>
        <v>On Scored</v>
      </c>
    </row>
    <row r="42">
      <c r="A42" s="1">
        <f>IFERROR(__xludf.DUMMYFUNCTION("""COMPUTED_VALUE"""),41.0)</f>
        <v>41</v>
      </c>
      <c r="B42" s="1" t="str">
        <f>IFERROR(__xludf.DUMMYFUNCTION("""COMPUTED_VALUE"""),"Scholar")</f>
        <v>Scholar</v>
      </c>
      <c r="C42" s="1" t="str">
        <f>IFERROR(__xludf.DUMMYFUNCTION("""COMPUTED_VALUE"""),"Played *Aces* give *+20* *Chips* and *+4 Mult* when scored")</f>
        <v>Played *Aces* give *+20* *Chips* and *+4 Mult* when scored</v>
      </c>
      <c r="D42" s="1" t="str">
        <f>IFERROR(__xludf.DUMMYFUNCTION("""COMPUTED_VALUE"""),"*$4*")</f>
        <v>*$4*</v>
      </c>
      <c r="E42" s="1" t="str">
        <f>IFERROR(__xludf.DUMMYFUNCTION("""COMPUTED_VALUE"""),"Common")</f>
        <v>Common</v>
      </c>
      <c r="F42" s="1" t="str">
        <f>IFERROR(__xludf.DUMMYFUNCTION("""COMPUTED_VALUE"""),"Available from start.")</f>
        <v>Available from start.</v>
      </c>
      <c r="G42" s="1" t="str">
        <f>IFERROR(__xludf.DUMMYFUNCTION("""COMPUTED_VALUE"""),"*+**+*")</f>
        <v>*+**+*</v>
      </c>
      <c r="H42" s="1" t="str">
        <f>IFERROR(__xludf.DUMMYFUNCTION("""COMPUTED_VALUE"""),"On Scored")</f>
        <v>On Scored</v>
      </c>
    </row>
    <row r="43">
      <c r="A43" s="1">
        <f>IFERROR(__xludf.DUMMYFUNCTION("""COMPUTED_VALUE"""),42.0)</f>
        <v>42</v>
      </c>
      <c r="B43" s="1" t="str">
        <f>IFERROR(__xludf.DUMMYFUNCTION("""COMPUTED_VALUE"""),"Business Card")</f>
        <v>Business Card</v>
      </c>
      <c r="C43" s="1" t="str">
        <f>IFERROR(__xludf.DUMMYFUNCTION("""COMPUTED_VALUE"""),"Played *face* cards have a *1 in 2* chance to give *$2* when scored")</f>
        <v>Played *face* cards have a *1 in 2* chance to give *$2* when scored</v>
      </c>
      <c r="D43" s="1" t="str">
        <f>IFERROR(__xludf.DUMMYFUNCTION("""COMPUTED_VALUE"""),"*$4*")</f>
        <v>*$4*</v>
      </c>
      <c r="E43" s="1" t="str">
        <f>IFERROR(__xludf.DUMMYFUNCTION("""COMPUTED_VALUE"""),"Common")</f>
        <v>Common</v>
      </c>
      <c r="F43" s="1" t="str">
        <f>IFERROR(__xludf.DUMMYFUNCTION("""COMPUTED_VALUE"""),"Available from start.")</f>
        <v>Available from start.</v>
      </c>
      <c r="G43" s="1" t="str">
        <f>IFERROR(__xludf.DUMMYFUNCTION("""COMPUTED_VALUE"""),"*+$*")</f>
        <v>*+$*</v>
      </c>
      <c r="H43" s="1" t="str">
        <f>IFERROR(__xludf.DUMMYFUNCTION("""COMPUTED_VALUE"""),"On Scored")</f>
        <v>On Scored</v>
      </c>
    </row>
    <row r="44">
      <c r="A44" s="1">
        <f>IFERROR(__xludf.DUMMYFUNCTION("""COMPUTED_VALUE"""),43.0)</f>
        <v>43</v>
      </c>
      <c r="B44" s="1" t="str">
        <f>IFERROR(__xludf.DUMMYFUNCTION("""COMPUTED_VALUE"""),"Supernova")</f>
        <v>Supernova</v>
      </c>
      <c r="C44" s="1" t="str">
        <f>IFERROR(__xludf.DUMMYFUNCTION("""COMPUTED_VALUE"""),"Adds the number of times *poker hand* has been played this run to Mult")</f>
        <v>Adds the number of times *poker hand* has been played this run to Mult</v>
      </c>
      <c r="D44" s="1" t="str">
        <f>IFERROR(__xludf.DUMMYFUNCTION("""COMPUTED_VALUE"""),"*$5*")</f>
        <v>*$5*</v>
      </c>
      <c r="E44" s="1" t="str">
        <f>IFERROR(__xludf.DUMMYFUNCTION("""COMPUTED_VALUE"""),"Common")</f>
        <v>Common</v>
      </c>
      <c r="F44" s="1" t="str">
        <f>IFERROR(__xludf.DUMMYFUNCTION("""COMPUTED_VALUE"""),"Available from start.")</f>
        <v>Available from start.</v>
      </c>
      <c r="G44" s="1" t="str">
        <f>IFERROR(__xludf.DUMMYFUNCTION("""COMPUTED_VALUE"""),"*+m*")</f>
        <v>*+m*</v>
      </c>
      <c r="H44" s="1" t="str">
        <f>IFERROR(__xludf.DUMMYFUNCTION("""COMPUTED_VALUE"""),"Indep.")</f>
        <v>Indep.</v>
      </c>
    </row>
    <row r="45">
      <c r="A45" s="1">
        <f>IFERROR(__xludf.DUMMYFUNCTION("""COMPUTED_VALUE"""),44.0)</f>
        <v>44</v>
      </c>
      <c r="B45" s="1" t="str">
        <f>IFERROR(__xludf.DUMMYFUNCTION("""COMPUTED_VALUE"""),"Ride the Bus")</f>
        <v>Ride the Bus</v>
      </c>
      <c r="C45" s="1" t="str">
        <f>IFERROR(__xludf.DUMMYFUNCTION("""COMPUTED_VALUE"""),"This Joker gains *+1 Mult* per *consecutive* hand played without a scoring 
*face* card 
*(Currently +0 Mult)*")</f>
        <v>This Joker gains *+1 Mult* per *consecutive* hand played without a scoring 
*face* card 
*(Currently +0 Mult)*</v>
      </c>
      <c r="D45" s="1" t="str">
        <f>IFERROR(__xludf.DUMMYFUNCTION("""COMPUTED_VALUE"""),"*$6*")</f>
        <v>*$6*</v>
      </c>
      <c r="E45" s="1" t="str">
        <f>IFERROR(__xludf.DUMMYFUNCTION("""COMPUTED_VALUE"""),"Common")</f>
        <v>Common</v>
      </c>
      <c r="F45" s="1" t="str">
        <f>IFERROR(__xludf.DUMMYFUNCTION("""COMPUTED_VALUE"""),"Available from start.")</f>
        <v>Available from start.</v>
      </c>
      <c r="G45" s="1" t="str">
        <f>IFERROR(__xludf.DUMMYFUNCTION("""COMPUTED_VALUE"""),"*+m*")</f>
        <v>*+m*</v>
      </c>
      <c r="H45" s="1" t="str">
        <f>IFERROR(__xludf.DUMMYFUNCTION("""COMPUTED_VALUE"""),"Mixed")</f>
        <v>Mixed</v>
      </c>
    </row>
    <row r="46">
      <c r="A46" s="1">
        <f>IFERROR(__xludf.DUMMYFUNCTION("""COMPUTED_VALUE"""),45.0)</f>
        <v>45</v>
      </c>
      <c r="B46" s="1" t="str">
        <f>IFERROR(__xludf.DUMMYFUNCTION("""COMPUTED_VALUE"""),"Space Joker")</f>
        <v>Space Joker</v>
      </c>
      <c r="C46" s="1" t="str">
        <f>IFERROR(__xludf.DUMMYFUNCTION("""COMPUTED_VALUE"""),"*1 in 4* chance to upgrade level of played *poker hand*")</f>
        <v>*1 in 4* chance to upgrade level of played *poker hand*</v>
      </c>
      <c r="D46" s="1" t="str">
        <f>IFERROR(__xludf.DUMMYFUNCTION("""COMPUTED_VALUE"""),"*$5*")</f>
        <v>*$5*</v>
      </c>
      <c r="E46" s="1" t="str">
        <f>IFERROR(__xludf.DUMMYFUNCTION("""COMPUTED_VALUE"""),"Uncommon")</f>
        <v>Uncommon</v>
      </c>
      <c r="F46" s="1" t="str">
        <f>IFERROR(__xludf.DUMMYFUNCTION("""COMPUTED_VALUE"""),"Available from start.")</f>
        <v>Available from start.</v>
      </c>
      <c r="G46" s="1" t="str">
        <f>IFERROR(__xludf.DUMMYFUNCTION("""COMPUTED_VALUE"""),"*!!*")</f>
        <v>*!!*</v>
      </c>
      <c r="H46" s="1" t="str">
        <f>IFERROR(__xludf.DUMMYFUNCTION("""COMPUTED_VALUE"""),"On Played")</f>
        <v>On Played</v>
      </c>
    </row>
    <row r="47">
      <c r="A47" s="1">
        <f>IFERROR(__xludf.DUMMYFUNCTION("""COMPUTED_VALUE"""),46.0)</f>
        <v>46</v>
      </c>
      <c r="B47" s="1" t="str">
        <f>IFERROR(__xludf.DUMMYFUNCTION("""COMPUTED_VALUE"""),"Egg")</f>
        <v>Egg</v>
      </c>
      <c r="C47" s="1" t="str">
        <f>IFERROR(__xludf.DUMMYFUNCTION("""COMPUTED_VALUE"""),"Gains *$3* of *sell value* at end of round")</f>
        <v>Gains *$3* of *sell value* at end of round</v>
      </c>
      <c r="D47" s="1" t="str">
        <f>IFERROR(__xludf.DUMMYFUNCTION("""COMPUTED_VALUE"""),"*$4*")</f>
        <v>*$4*</v>
      </c>
      <c r="E47" s="1" t="str">
        <f>IFERROR(__xludf.DUMMYFUNCTION("""COMPUTED_VALUE"""),"Common")</f>
        <v>Common</v>
      </c>
      <c r="F47" s="1" t="str">
        <f>IFERROR(__xludf.DUMMYFUNCTION("""COMPUTED_VALUE"""),"Available from start.")</f>
        <v>Available from start.</v>
      </c>
      <c r="G47" s="1" t="str">
        <f>IFERROR(__xludf.DUMMYFUNCTION("""COMPUTED_VALUE"""),"*+$*")</f>
        <v>*+$*</v>
      </c>
      <c r="H47" s="1" t="str">
        <f>IFERROR(__xludf.DUMMYFUNCTION("""COMPUTED_VALUE"""),"N/A")</f>
        <v>N/A</v>
      </c>
    </row>
    <row r="48">
      <c r="A48" s="1">
        <f>IFERROR(__xludf.DUMMYFUNCTION("""COMPUTED_VALUE"""),47.0)</f>
        <v>47</v>
      </c>
      <c r="B48" s="1" t="str">
        <f>IFERROR(__xludf.DUMMYFUNCTION("""COMPUTED_VALUE"""),"Burglar")</f>
        <v>Burglar</v>
      </c>
      <c r="C48" s="1" t="str">
        <f>IFERROR(__xludf.DUMMYFUNCTION("""COMPUTED_VALUE"""),"When *Blind* is selected, gain *+3**Hands* and *lose all discards*")</f>
        <v>When *Blind* is selected, gain *+3**Hands* and *lose all discards*</v>
      </c>
      <c r="D48" s="1" t="str">
        <f>IFERROR(__xludf.DUMMYFUNCTION("""COMPUTED_VALUE"""),"*$6*")</f>
        <v>*$6*</v>
      </c>
      <c r="E48" s="1" t="str">
        <f>IFERROR(__xludf.DUMMYFUNCTION("""COMPUTED_VALUE"""),"Uncommon")</f>
        <v>Uncommon</v>
      </c>
      <c r="F48" s="1" t="str">
        <f>IFERROR(__xludf.DUMMYFUNCTION("""COMPUTED_VALUE"""),"Available from start.")</f>
        <v>Available from start.</v>
      </c>
      <c r="G48" s="1" t="str">
        <f>IFERROR(__xludf.DUMMYFUNCTION("""COMPUTED_VALUE"""),"*!!*")</f>
        <v>*!!*</v>
      </c>
      <c r="H48" s="1" t="str">
        <f>IFERROR(__xludf.DUMMYFUNCTION("""COMPUTED_VALUE"""),"N/A")</f>
        <v>N/A</v>
      </c>
    </row>
    <row r="49">
      <c r="A49" s="1">
        <f>IFERROR(__xludf.DUMMYFUNCTION("""COMPUTED_VALUE"""),48.0)</f>
        <v>48</v>
      </c>
      <c r="B49" s="1" t="str">
        <f>IFERROR(__xludf.DUMMYFUNCTION("""COMPUTED_VALUE"""),"Blackboard")</f>
        <v>Blackboard</v>
      </c>
      <c r="C49" s="1" t="str">
        <f>IFERROR(__xludf.DUMMYFUNCTION("""COMPUTED_VALUE"""),"*X3 Mult* if all cards held in hand are * Spades* or * Clubs*")</f>
        <v>*X3 Mult* if all cards held in hand are * Spades* or * Clubs*</v>
      </c>
      <c r="D49" s="1" t="str">
        <f>IFERROR(__xludf.DUMMYFUNCTION("""COMPUTED_VALUE"""),"*$6*")</f>
        <v>*$6*</v>
      </c>
      <c r="E49" s="1" t="str">
        <f>IFERROR(__xludf.DUMMYFUNCTION("""COMPUTED_VALUE"""),"Uncommon")</f>
        <v>Uncommon</v>
      </c>
      <c r="F49" s="1" t="str">
        <f>IFERROR(__xludf.DUMMYFUNCTION("""COMPUTED_VALUE"""),"Available from start.")</f>
        <v>Available from start.</v>
      </c>
      <c r="G49" s="1" t="str">
        <f>IFERROR(__xludf.DUMMYFUNCTION("""COMPUTED_VALUE"""),"*Xm*")</f>
        <v>*Xm*</v>
      </c>
      <c r="H49" s="1" t="str">
        <f>IFERROR(__xludf.DUMMYFUNCTION("""COMPUTED_VALUE"""),"Indep.")</f>
        <v>Indep.</v>
      </c>
    </row>
    <row r="50">
      <c r="A50" s="1">
        <f>IFERROR(__xludf.DUMMYFUNCTION("""COMPUTED_VALUE"""),49.0)</f>
        <v>49</v>
      </c>
      <c r="B50" s="1" t="str">
        <f>IFERROR(__xludf.DUMMYFUNCTION("""COMPUTED_VALUE"""),"Runner")</f>
        <v>Runner</v>
      </c>
      <c r="C50" s="1" t="str">
        <f>IFERROR(__xludf.DUMMYFUNCTION("""COMPUTED_VALUE"""),"Gains *+15* *Chips* if played hand contains a *Straight*
*(Currently +0 Chips)*")</f>
        <v>Gains *+15* *Chips* if played hand contains a *Straight*
*(Currently +0 Chips)*</v>
      </c>
      <c r="D50" s="1" t="str">
        <f>IFERROR(__xludf.DUMMYFUNCTION("""COMPUTED_VALUE"""),"*$5*")</f>
        <v>*$5*</v>
      </c>
      <c r="E50" s="1" t="str">
        <f>IFERROR(__xludf.DUMMYFUNCTION("""COMPUTED_VALUE"""),"Common")</f>
        <v>Common</v>
      </c>
      <c r="F50" s="1" t="str">
        <f>IFERROR(__xludf.DUMMYFUNCTION("""COMPUTED_VALUE"""),"Available from start.")</f>
        <v>Available from start.</v>
      </c>
      <c r="G50" s="1" t="str">
        <f>IFERROR(__xludf.DUMMYFUNCTION("""COMPUTED_VALUE"""),"*+c*")</f>
        <v>*+c*</v>
      </c>
      <c r="H50" s="1" t="str">
        <f>IFERROR(__xludf.DUMMYFUNCTION("""COMPUTED_VALUE"""),"Mixed")</f>
        <v>Mixed</v>
      </c>
    </row>
    <row r="51">
      <c r="A51" s="1">
        <f>IFERROR(__xludf.DUMMYFUNCTION("""COMPUTED_VALUE"""),50.0)</f>
        <v>50</v>
      </c>
      <c r="B51" s="1" t="str">
        <f>IFERROR(__xludf.DUMMYFUNCTION("""COMPUTED_VALUE"""),"Ice Cream")</f>
        <v>Ice Cream</v>
      </c>
      <c r="C51" s="1" t="str">
        <f>IFERROR(__xludf.DUMMYFUNCTION("""COMPUTED_VALUE"""),"*+100* *Chips*
*-5* *Chips* for every hand played")</f>
        <v>*+100* *Chips*
*-5* *Chips* for every hand played</v>
      </c>
      <c r="D51" s="1" t="str">
        <f>IFERROR(__xludf.DUMMYFUNCTION("""COMPUTED_VALUE"""),"*$5*")</f>
        <v>*$5*</v>
      </c>
      <c r="E51" s="1" t="str">
        <f>IFERROR(__xludf.DUMMYFUNCTION("""COMPUTED_VALUE"""),"Common")</f>
        <v>Common</v>
      </c>
      <c r="F51" s="1" t="str">
        <f>IFERROR(__xludf.DUMMYFUNCTION("""COMPUTED_VALUE"""),"Available from start.")</f>
        <v>Available from start.</v>
      </c>
      <c r="G51" s="1" t="str">
        <f>IFERROR(__xludf.DUMMYFUNCTION("""COMPUTED_VALUE"""),"*+c*")</f>
        <v>*+c*</v>
      </c>
      <c r="H51" s="1" t="str">
        <f>IFERROR(__xludf.DUMMYFUNCTION("""COMPUTED_VALUE"""),"Indep.")</f>
        <v>Indep.</v>
      </c>
    </row>
    <row r="52">
      <c r="A52" s="1">
        <f>IFERROR(__xludf.DUMMYFUNCTION("""COMPUTED_VALUE"""),51.0)</f>
        <v>51</v>
      </c>
      <c r="B52" s="1" t="str">
        <f>IFERROR(__xludf.DUMMYFUNCTION("""COMPUTED_VALUE"""),"DNA")</f>
        <v>DNA</v>
      </c>
      <c r="C52" s="1" t="str">
        <f>IFERROR(__xludf.DUMMYFUNCTION("""COMPUTED_VALUE"""),"If *first hand* of round has only *1* card, add a permanent copy to deck 
and draw it to *hand*")</f>
        <v>If *first hand* of round has only *1* card, add a permanent copy to deck 
and draw it to *hand*</v>
      </c>
      <c r="D52" s="1" t="str">
        <f>IFERROR(__xludf.DUMMYFUNCTION("""COMPUTED_VALUE"""),"*$8*")</f>
        <v>*$8*</v>
      </c>
      <c r="E52" s="1" t="str">
        <f>IFERROR(__xludf.DUMMYFUNCTION("""COMPUTED_VALUE"""),"Rare")</f>
        <v>Rare</v>
      </c>
      <c r="F52" s="1" t="str">
        <f>IFERROR(__xludf.DUMMYFUNCTION("""COMPUTED_VALUE"""),"Available from start.")</f>
        <v>Available from start.</v>
      </c>
      <c r="G52" s="1" t="str">
        <f>IFERROR(__xludf.DUMMYFUNCTION("""COMPUTED_VALUE"""),"*!!*")</f>
        <v>*!!*</v>
      </c>
      <c r="H52" s="1" t="str">
        <f>IFERROR(__xludf.DUMMYFUNCTION("""COMPUTED_VALUE"""),"On Played")</f>
        <v>On Played</v>
      </c>
    </row>
    <row r="53">
      <c r="A53" s="1">
        <f>IFERROR(__xludf.DUMMYFUNCTION("""COMPUTED_VALUE"""),52.0)</f>
        <v>52</v>
      </c>
      <c r="B53" s="1" t="str">
        <f>IFERROR(__xludf.DUMMYFUNCTION("""COMPUTED_VALUE"""),"Splash")</f>
        <v>Splash</v>
      </c>
      <c r="C53" s="1" t="str">
        <f>IFERROR(__xludf.DUMMYFUNCTION("""COMPUTED_VALUE"""),"Every *played card* counts in scoring")</f>
        <v>Every *played card* counts in scoring</v>
      </c>
      <c r="D53" s="1" t="str">
        <f>IFERROR(__xludf.DUMMYFUNCTION("""COMPUTED_VALUE"""),"*$3*")</f>
        <v>*$3*</v>
      </c>
      <c r="E53" s="1" t="str">
        <f>IFERROR(__xludf.DUMMYFUNCTION("""COMPUTED_VALUE"""),"Common")</f>
        <v>Common</v>
      </c>
      <c r="F53" s="1" t="str">
        <f>IFERROR(__xludf.DUMMYFUNCTION("""COMPUTED_VALUE"""),"Available from start.")</f>
        <v>Available from start.</v>
      </c>
      <c r="G53" s="1" t="str">
        <f>IFERROR(__xludf.DUMMYFUNCTION("""COMPUTED_VALUE"""),"*!!*")</f>
        <v>*!!*</v>
      </c>
      <c r="H53" s="1" t="str">
        <f>IFERROR(__xludf.DUMMYFUNCTION("""COMPUTED_VALUE"""),"N/A")</f>
        <v>N/A</v>
      </c>
    </row>
    <row r="54">
      <c r="A54" s="1">
        <f>IFERROR(__xludf.DUMMYFUNCTION("""COMPUTED_VALUE"""),53.0)</f>
        <v>53</v>
      </c>
      <c r="B54" s="1" t="str">
        <f>IFERROR(__xludf.DUMMYFUNCTION("""COMPUTED_VALUE"""),"Blue Joker")</f>
        <v>Blue Joker</v>
      </c>
      <c r="C54" s="1" t="str">
        <f>IFERROR(__xludf.DUMMYFUNCTION("""COMPUTED_VALUE"""),"*+2* *Chips* for each remaining card in *deck*
*(Currently +104 Chips)*")</f>
        <v>*+2* *Chips* for each remaining card in *deck*
*(Currently +104 Chips)*</v>
      </c>
      <c r="D54" s="1" t="str">
        <f>IFERROR(__xludf.DUMMYFUNCTION("""COMPUTED_VALUE"""),"*$5*")</f>
        <v>*$5*</v>
      </c>
      <c r="E54" s="1" t="str">
        <f>IFERROR(__xludf.DUMMYFUNCTION("""COMPUTED_VALUE"""),"Common")</f>
        <v>Common</v>
      </c>
      <c r="F54" s="1" t="str">
        <f>IFERROR(__xludf.DUMMYFUNCTION("""COMPUTED_VALUE"""),"Available from start.")</f>
        <v>Available from start.</v>
      </c>
      <c r="G54" s="1" t="str">
        <f>IFERROR(__xludf.DUMMYFUNCTION("""COMPUTED_VALUE"""),"*+c*")</f>
        <v>*+c*</v>
      </c>
      <c r="H54" s="1" t="str">
        <f>IFERROR(__xludf.DUMMYFUNCTION("""COMPUTED_VALUE"""),"Indep.")</f>
        <v>Indep.</v>
      </c>
    </row>
    <row r="55">
      <c r="A55" s="1">
        <f>IFERROR(__xludf.DUMMYFUNCTION("""COMPUTED_VALUE"""),54.0)</f>
        <v>54</v>
      </c>
      <c r="B55" s="1" t="str">
        <f>IFERROR(__xludf.DUMMYFUNCTION("""COMPUTED_VALUE"""),"Sixth Sense")</f>
        <v>Sixth Sense</v>
      </c>
      <c r="C55" s="1" t="str">
        <f>IFERROR(__xludf.DUMMYFUNCTION("""COMPUTED_VALUE"""),"If *first hand* of round is a single *6*, destroy it and create a *Spectral* 
card 
*(Must have room)*")</f>
        <v>If *first hand* of round is a single *6*, destroy it and create a *Spectral* 
card 
*(Must have room)*</v>
      </c>
      <c r="D55" s="1" t="str">
        <f>IFERROR(__xludf.DUMMYFUNCTION("""COMPUTED_VALUE"""),"*$6*")</f>
        <v>*$6*</v>
      </c>
      <c r="E55" s="1" t="str">
        <f>IFERROR(__xludf.DUMMYFUNCTION("""COMPUTED_VALUE"""),"Uncommon")</f>
        <v>Uncommon</v>
      </c>
      <c r="F55" s="1" t="str">
        <f>IFERROR(__xludf.DUMMYFUNCTION("""COMPUTED_VALUE"""),"Available from start.")</f>
        <v>Available from start.</v>
      </c>
      <c r="G55" s="1" t="str">
        <f>IFERROR(__xludf.DUMMYFUNCTION("""COMPUTED_VALUE"""),"*!!*")</f>
        <v>*!!*</v>
      </c>
      <c r="H55" s="1" t="str">
        <f>IFERROR(__xludf.DUMMYFUNCTION("""COMPUTED_VALUE"""),"N/A")</f>
        <v>N/A</v>
      </c>
    </row>
    <row r="56">
      <c r="A56" s="1">
        <f>IFERROR(__xludf.DUMMYFUNCTION("""COMPUTED_VALUE"""),55.0)</f>
        <v>55</v>
      </c>
      <c r="B56" s="1" t="str">
        <f>IFERROR(__xludf.DUMMYFUNCTION("""COMPUTED_VALUE"""),"Constellation")</f>
        <v>Constellation</v>
      </c>
      <c r="C56" s="1" t="str">
        <f>IFERROR(__xludf.DUMMYFUNCTION("""COMPUTED_VALUE"""),"This Joker gains *X0.1 Mult* every time a *Planet* card is used 
*(Currently X1 Mult)*")</f>
        <v>This Joker gains *X0.1 Mult* every time a *Planet* card is used 
*(Currently X1 Mult)*</v>
      </c>
      <c r="D56" s="1" t="str">
        <f>IFERROR(__xludf.DUMMYFUNCTION("""COMPUTED_VALUE"""),"*$6*")</f>
        <v>*$6*</v>
      </c>
      <c r="E56" s="1" t="str">
        <f>IFERROR(__xludf.DUMMYFUNCTION("""COMPUTED_VALUE"""),"Uncommon")</f>
        <v>Uncommon</v>
      </c>
      <c r="F56" s="1" t="str">
        <f>IFERROR(__xludf.DUMMYFUNCTION("""COMPUTED_VALUE"""),"Available from start.")</f>
        <v>Available from start.</v>
      </c>
      <c r="G56" s="1" t="str">
        <f>IFERROR(__xludf.DUMMYFUNCTION("""COMPUTED_VALUE"""),"*Xm*")</f>
        <v>*Xm*</v>
      </c>
      <c r="H56" s="1" t="str">
        <f>IFERROR(__xludf.DUMMYFUNCTION("""COMPUTED_VALUE"""),"Indep.")</f>
        <v>Indep.</v>
      </c>
    </row>
    <row r="57">
      <c r="A57" s="1">
        <f>IFERROR(__xludf.DUMMYFUNCTION("""COMPUTED_VALUE"""),56.0)</f>
        <v>56</v>
      </c>
      <c r="B57" s="1" t="str">
        <f>IFERROR(__xludf.DUMMYFUNCTION("""COMPUTED_VALUE"""),"Hiker")</f>
        <v>Hiker</v>
      </c>
      <c r="C57" s="1" t="str">
        <f>IFERROR(__xludf.DUMMYFUNCTION("""COMPUTED_VALUE"""),"Every played *card* permanently gains *+5* *Chips* when scored")</f>
        <v>Every played *card* permanently gains *+5* *Chips* when scored</v>
      </c>
      <c r="D57" s="1" t="str">
        <f>IFERROR(__xludf.DUMMYFUNCTION("""COMPUTED_VALUE"""),"*$5*")</f>
        <v>*$5*</v>
      </c>
      <c r="E57" s="1" t="str">
        <f>IFERROR(__xludf.DUMMYFUNCTION("""COMPUTED_VALUE"""),"Uncommon")</f>
        <v>Uncommon</v>
      </c>
      <c r="F57" s="1" t="str">
        <f>IFERROR(__xludf.DUMMYFUNCTION("""COMPUTED_VALUE"""),"Available from start.")</f>
        <v>Available from start.</v>
      </c>
      <c r="G57" s="1" t="str">
        <f>IFERROR(__xludf.DUMMYFUNCTION("""COMPUTED_VALUE"""),"*+c*")</f>
        <v>*+c*</v>
      </c>
      <c r="H57" s="1" t="str">
        <f>IFERROR(__xludf.DUMMYFUNCTION("""COMPUTED_VALUE"""),"On Scored")</f>
        <v>On Scored</v>
      </c>
    </row>
    <row r="58">
      <c r="A58" s="1">
        <f>IFERROR(__xludf.DUMMYFUNCTION("""COMPUTED_VALUE"""),57.0)</f>
        <v>57</v>
      </c>
      <c r="B58" s="1" t="str">
        <f>IFERROR(__xludf.DUMMYFUNCTION("""COMPUTED_VALUE"""),"Faceless Joker")</f>
        <v>Faceless Joker</v>
      </c>
      <c r="C58" s="1" t="str">
        <f>IFERROR(__xludf.DUMMYFUNCTION("""COMPUTED_VALUE"""),"Earn *$5* if *3* or more *face cards* are discarded at the same time")</f>
        <v>Earn *$5* if *3* or more *face cards* are discarded at the same time</v>
      </c>
      <c r="D58" s="1" t="str">
        <f>IFERROR(__xludf.DUMMYFUNCTION("""COMPUTED_VALUE"""),"*$4*")</f>
        <v>*$4*</v>
      </c>
      <c r="E58" s="1" t="str">
        <f>IFERROR(__xludf.DUMMYFUNCTION("""COMPUTED_VALUE"""),"Common")</f>
        <v>Common</v>
      </c>
      <c r="F58" s="1" t="str">
        <f>IFERROR(__xludf.DUMMYFUNCTION("""COMPUTED_VALUE"""),"Available from start.")</f>
        <v>Available from start.</v>
      </c>
      <c r="G58" s="1" t="str">
        <f>IFERROR(__xludf.DUMMYFUNCTION("""COMPUTED_VALUE"""),"*+$*")</f>
        <v>*+$*</v>
      </c>
      <c r="H58" s="1" t="str">
        <f>IFERROR(__xludf.DUMMYFUNCTION("""COMPUTED_VALUE"""),"On Discard")</f>
        <v>On Discard</v>
      </c>
    </row>
    <row r="59">
      <c r="A59" s="1">
        <f>IFERROR(__xludf.DUMMYFUNCTION("""COMPUTED_VALUE"""),58.0)</f>
        <v>58</v>
      </c>
      <c r="B59" s="1" t="str">
        <f>IFERROR(__xludf.DUMMYFUNCTION("""COMPUTED_VALUE"""),"Green Joker")</f>
        <v>Green Joker</v>
      </c>
      <c r="C59" s="1" t="str">
        <f>IFERROR(__xludf.DUMMYFUNCTION("""COMPUTED_VALUE"""),"*+1 Mult* per hand played 
*-1 Mult* per discard 
*(Currently +0 Mult)*")</f>
        <v>*+1 Mult* per hand played 
*-1 Mult* per discard 
*(Currently +0 Mult)*</v>
      </c>
      <c r="D59" s="1" t="str">
        <f>IFERROR(__xludf.DUMMYFUNCTION("""COMPUTED_VALUE"""),"*$4*")</f>
        <v>*$4*</v>
      </c>
      <c r="E59" s="1" t="str">
        <f>IFERROR(__xludf.DUMMYFUNCTION("""COMPUTED_VALUE"""),"Common")</f>
        <v>Common</v>
      </c>
      <c r="F59" s="1" t="str">
        <f>IFERROR(__xludf.DUMMYFUNCTION("""COMPUTED_VALUE"""),"Available from start.")</f>
        <v>Available from start.</v>
      </c>
      <c r="G59" s="1" t="str">
        <f>IFERROR(__xludf.DUMMYFUNCTION("""COMPUTED_VALUE"""),"*+m*")</f>
        <v>*+m*</v>
      </c>
      <c r="H59" s="1" t="str">
        <f>IFERROR(__xludf.DUMMYFUNCTION("""COMPUTED_VALUE"""),"Mixed")</f>
        <v>Mixed</v>
      </c>
    </row>
    <row r="60">
      <c r="A60" s="1">
        <f>IFERROR(__xludf.DUMMYFUNCTION("""COMPUTED_VALUE"""),59.0)</f>
        <v>59</v>
      </c>
      <c r="B60" s="1" t="str">
        <f>IFERROR(__xludf.DUMMYFUNCTION("""COMPUTED_VALUE"""),"Superposition")</f>
        <v>Superposition</v>
      </c>
      <c r="C60" s="1" t="str">
        <f>IFERROR(__xludf.DUMMYFUNCTION("""COMPUTED_VALUE"""),"Create a *Tarot* card if poker hand contains an *Ace* and a *Straight*
*(Must have room)*")</f>
        <v>Create a *Tarot* card if poker hand contains an *Ace* and a *Straight*
*(Must have room)*</v>
      </c>
      <c r="D60" s="1" t="str">
        <f>IFERROR(__xludf.DUMMYFUNCTION("""COMPUTED_VALUE"""),"*$4*")</f>
        <v>*$4*</v>
      </c>
      <c r="E60" s="1" t="str">
        <f>IFERROR(__xludf.DUMMYFUNCTION("""COMPUTED_VALUE"""),"Common")</f>
        <v>Common</v>
      </c>
      <c r="F60" s="1" t="str">
        <f>IFERROR(__xludf.DUMMYFUNCTION("""COMPUTED_VALUE"""),"Available from start.")</f>
        <v>Available from start.</v>
      </c>
      <c r="G60" s="1" t="str">
        <f>IFERROR(__xludf.DUMMYFUNCTION("""COMPUTED_VALUE"""),"*!!*")</f>
        <v>*!!*</v>
      </c>
      <c r="H60" s="1" t="str">
        <f>IFERROR(__xludf.DUMMYFUNCTION("""COMPUTED_VALUE"""),"Indep.")</f>
        <v>Indep.</v>
      </c>
    </row>
    <row r="61">
      <c r="A61" s="1">
        <f>IFERROR(__xludf.DUMMYFUNCTION("""COMPUTED_VALUE"""),60.0)</f>
        <v>60</v>
      </c>
      <c r="B61" s="1" t="str">
        <f>IFERROR(__xludf.DUMMYFUNCTION("""COMPUTED_VALUE"""),"To Do List")</f>
        <v>To Do List</v>
      </c>
      <c r="C61" s="1" t="str">
        <f>IFERROR(__xludf.DUMMYFUNCTION("""COMPUTED_VALUE"""),"Earn *$4* if *poker hand* is a *[Poker Hand]*, poker hand changes at end of 
round")</f>
        <v>Earn *$4* if *poker hand* is a *[Poker Hand]*, poker hand changes at end of 
round</v>
      </c>
      <c r="D61" s="1" t="str">
        <f>IFERROR(__xludf.DUMMYFUNCTION("""COMPUTED_VALUE"""),"*$4*")</f>
        <v>*$4*</v>
      </c>
      <c r="E61" s="1" t="str">
        <f>IFERROR(__xludf.DUMMYFUNCTION("""COMPUTED_VALUE"""),"Common")</f>
        <v>Common</v>
      </c>
      <c r="F61" s="1" t="str">
        <f>IFERROR(__xludf.DUMMYFUNCTION("""COMPUTED_VALUE"""),"Available from start.")</f>
        <v>Available from start.</v>
      </c>
      <c r="G61" s="1" t="str">
        <f>IFERROR(__xludf.DUMMYFUNCTION("""COMPUTED_VALUE"""),"*+$*")</f>
        <v>*+$*</v>
      </c>
      <c r="H61" s="1" t="str">
        <f>IFERROR(__xludf.DUMMYFUNCTION("""COMPUTED_VALUE"""),"On Played")</f>
        <v>On Played</v>
      </c>
    </row>
    <row r="62">
      <c r="A62" s="1">
        <f>IFERROR(__xludf.DUMMYFUNCTION("""COMPUTED_VALUE"""),61.0)</f>
        <v>61</v>
      </c>
      <c r="B62" s="1" t="str">
        <f>IFERROR(__xludf.DUMMYFUNCTION("""COMPUTED_VALUE"""),"Cavendish")</f>
        <v>Cavendish</v>
      </c>
      <c r="C62" s="1" t="str">
        <f>IFERROR(__xludf.DUMMYFUNCTION("""COMPUTED_VALUE"""),"*X3 Mult*
*1 in 1000* chance this card is destroyed at the end of round")</f>
        <v>*X3 Mult*
*1 in 1000* chance this card is destroyed at the end of round</v>
      </c>
      <c r="D62" s="1" t="str">
        <f>IFERROR(__xludf.DUMMYFUNCTION("""COMPUTED_VALUE"""),"*$4*")</f>
        <v>*$4*</v>
      </c>
      <c r="E62" s="1" t="str">
        <f>IFERROR(__xludf.DUMMYFUNCTION("""COMPUTED_VALUE"""),"Common")</f>
        <v>Common</v>
      </c>
      <c r="F62" s="1" t="str">
        <f>IFERROR(__xludf.DUMMYFUNCTION("""COMPUTED_VALUE"""),"Available from start. (Can only appear in the shop when Gros Michel has 
destroyed itself in the current run.)")</f>
        <v>Available from start. (Can only appear in the shop when Gros Michel has 
destroyed itself in the current run.)</v>
      </c>
      <c r="G62" s="1" t="str">
        <f>IFERROR(__xludf.DUMMYFUNCTION("""COMPUTED_VALUE"""),"*Xm*")</f>
        <v>*Xm*</v>
      </c>
      <c r="H62" s="1" t="str">
        <f>IFERROR(__xludf.DUMMYFUNCTION("""COMPUTED_VALUE"""),"Indep.")</f>
        <v>Indep.</v>
      </c>
    </row>
    <row r="63">
      <c r="A63" s="1">
        <f>IFERROR(__xludf.DUMMYFUNCTION("""COMPUTED_VALUE"""),62.0)</f>
        <v>62</v>
      </c>
      <c r="B63" s="1" t="str">
        <f>IFERROR(__xludf.DUMMYFUNCTION("""COMPUTED_VALUE"""),"Card Sharp")</f>
        <v>Card Sharp</v>
      </c>
      <c r="C63" s="1" t="str">
        <f>IFERROR(__xludf.DUMMYFUNCTION("""COMPUTED_VALUE"""),"*X3 Mult* if played *poker hand* has already been played this round")</f>
        <v>*X3 Mult* if played *poker hand* has already been played this round</v>
      </c>
      <c r="D63" s="1" t="str">
        <f>IFERROR(__xludf.DUMMYFUNCTION("""COMPUTED_VALUE"""),"*$6*")</f>
        <v>*$6*</v>
      </c>
      <c r="E63" s="1" t="str">
        <f>IFERROR(__xludf.DUMMYFUNCTION("""COMPUTED_VALUE"""),"Uncommon")</f>
        <v>Uncommon</v>
      </c>
      <c r="F63" s="1" t="str">
        <f>IFERROR(__xludf.DUMMYFUNCTION("""COMPUTED_VALUE"""),"Available from start.")</f>
        <v>Available from start.</v>
      </c>
      <c r="G63" s="1" t="str">
        <f>IFERROR(__xludf.DUMMYFUNCTION("""COMPUTED_VALUE"""),"*Xm*")</f>
        <v>*Xm*</v>
      </c>
      <c r="H63" s="1" t="str">
        <f>IFERROR(__xludf.DUMMYFUNCTION("""COMPUTED_VALUE"""),"Indep.")</f>
        <v>Indep.</v>
      </c>
    </row>
    <row r="64">
      <c r="A64" s="1">
        <f>IFERROR(__xludf.DUMMYFUNCTION("""COMPUTED_VALUE"""),63.0)</f>
        <v>63</v>
      </c>
      <c r="B64" s="1" t="str">
        <f>IFERROR(__xludf.DUMMYFUNCTION("""COMPUTED_VALUE"""),"Red Card")</f>
        <v>Red Card</v>
      </c>
      <c r="C64" s="1" t="str">
        <f>IFERROR(__xludf.DUMMYFUNCTION("""COMPUTED_VALUE"""),"This Joker gains *+3 Mult* when any *Booster Pack* is skipped 
*(Currently +0 Mult)*")</f>
        <v>This Joker gains *+3 Mult* when any *Booster Pack* is skipped 
*(Currently +0 Mult)*</v>
      </c>
      <c r="D64" s="1" t="str">
        <f>IFERROR(__xludf.DUMMYFUNCTION("""COMPUTED_VALUE"""),"*$5*")</f>
        <v>*$5*</v>
      </c>
      <c r="E64" s="1" t="str">
        <f>IFERROR(__xludf.DUMMYFUNCTION("""COMPUTED_VALUE"""),"Common")</f>
        <v>Common</v>
      </c>
      <c r="F64" s="1" t="str">
        <f>IFERROR(__xludf.DUMMYFUNCTION("""COMPUTED_VALUE"""),"Available from start.")</f>
        <v>Available from start.</v>
      </c>
      <c r="G64" s="1" t="str">
        <f>IFERROR(__xludf.DUMMYFUNCTION("""COMPUTED_VALUE"""),"*+m*")</f>
        <v>*+m*</v>
      </c>
      <c r="H64" s="1" t="str">
        <f>IFERROR(__xludf.DUMMYFUNCTION("""COMPUTED_VALUE"""),"Indep.")</f>
        <v>Indep.</v>
      </c>
    </row>
    <row r="65">
      <c r="A65" s="1">
        <f>IFERROR(__xludf.DUMMYFUNCTION("""COMPUTED_VALUE"""),64.0)</f>
        <v>64</v>
      </c>
      <c r="B65" s="1" t="str">
        <f>IFERROR(__xludf.DUMMYFUNCTION("""COMPUTED_VALUE"""),"Madness")</f>
        <v>Madness</v>
      </c>
      <c r="C65" s="1" t="str">
        <f>IFERROR(__xludf.DUMMYFUNCTION("""COMPUTED_VALUE"""),"When *Small Blind* or *Big Blind* is selected, gain *X0.5 Mult* and 
*destroy* a random Joker 
*(Currently X1 Mult)*")</f>
        <v>When *Small Blind* or *Big Blind* is selected, gain *X0.5 Mult* and 
*destroy* a random Joker 
*(Currently X1 Mult)*</v>
      </c>
      <c r="D65" s="1" t="str">
        <f>IFERROR(__xludf.DUMMYFUNCTION("""COMPUTED_VALUE"""),"*$7*")</f>
        <v>*$7*</v>
      </c>
      <c r="E65" s="1" t="str">
        <f>IFERROR(__xludf.DUMMYFUNCTION("""COMPUTED_VALUE"""),"Uncommon")</f>
        <v>Uncommon</v>
      </c>
      <c r="F65" s="1" t="str">
        <f>IFERROR(__xludf.DUMMYFUNCTION("""COMPUTED_VALUE"""),"Available from start.")</f>
        <v>Available from start.</v>
      </c>
      <c r="G65" s="1" t="str">
        <f>IFERROR(__xludf.DUMMYFUNCTION("""COMPUTED_VALUE"""),"*Xm*")</f>
        <v>*Xm*</v>
      </c>
      <c r="H65" s="1" t="str">
        <f>IFERROR(__xludf.DUMMYFUNCTION("""COMPUTED_VALUE"""),"Indep.")</f>
        <v>Indep.</v>
      </c>
    </row>
    <row r="66">
      <c r="A66" s="1">
        <f>IFERROR(__xludf.DUMMYFUNCTION("""COMPUTED_VALUE"""),65.0)</f>
        <v>65</v>
      </c>
      <c r="B66" s="1" t="str">
        <f>IFERROR(__xludf.DUMMYFUNCTION("""COMPUTED_VALUE"""),"Square Joker")</f>
        <v>Square Joker</v>
      </c>
      <c r="C66" s="1" t="str">
        <f>IFERROR(__xludf.DUMMYFUNCTION("""COMPUTED_VALUE"""),"This Joker gains *+4* *Chips* if played hand has exactly *4* cards 
*(Currently 0 Chips)*")</f>
        <v>This Joker gains *+4* *Chips* if played hand has exactly *4* cards 
*(Currently 0 Chips)*</v>
      </c>
      <c r="D66" s="1" t="str">
        <f>IFERROR(__xludf.DUMMYFUNCTION("""COMPUTED_VALUE"""),"*$4*")</f>
        <v>*$4*</v>
      </c>
      <c r="E66" s="1" t="str">
        <f>IFERROR(__xludf.DUMMYFUNCTION("""COMPUTED_VALUE"""),"Common")</f>
        <v>Common</v>
      </c>
      <c r="F66" s="1" t="str">
        <f>IFERROR(__xludf.DUMMYFUNCTION("""COMPUTED_VALUE"""),"Available from start.")</f>
        <v>Available from start.</v>
      </c>
      <c r="G66" s="1" t="str">
        <f>IFERROR(__xludf.DUMMYFUNCTION("""COMPUTED_VALUE"""),"*+c*")</f>
        <v>*+c*</v>
      </c>
      <c r="H66" s="1" t="str">
        <f>IFERROR(__xludf.DUMMYFUNCTION("""COMPUTED_VALUE"""),"Mixed")</f>
        <v>Mixed</v>
      </c>
    </row>
    <row r="67">
      <c r="A67" s="1">
        <f>IFERROR(__xludf.DUMMYFUNCTION("""COMPUTED_VALUE"""),66.0)</f>
        <v>66</v>
      </c>
      <c r="B67" s="1" t="str">
        <f>IFERROR(__xludf.DUMMYFUNCTION("""COMPUTED_VALUE"""),"Séance")</f>
        <v>Séance</v>
      </c>
      <c r="C67" s="1" t="str">
        <f>IFERROR(__xludf.DUMMYFUNCTION("""COMPUTED_VALUE"""),"If *poker hand* is a *Straight Flush*, create a random *Spectral* card 
*(Must have room)*")</f>
        <v>If *poker hand* is a *Straight Flush*, create a random *Spectral* card 
*(Must have room)*</v>
      </c>
      <c r="D67" s="1" t="str">
        <f>IFERROR(__xludf.DUMMYFUNCTION("""COMPUTED_VALUE"""),"*$6*")</f>
        <v>*$6*</v>
      </c>
      <c r="E67" s="1" t="str">
        <f>IFERROR(__xludf.DUMMYFUNCTION("""COMPUTED_VALUE"""),"Uncommon")</f>
        <v>Uncommon</v>
      </c>
      <c r="F67" s="1" t="str">
        <f>IFERROR(__xludf.DUMMYFUNCTION("""COMPUTED_VALUE"""),"Available from start.")</f>
        <v>Available from start.</v>
      </c>
      <c r="G67" s="1" t="str">
        <f>IFERROR(__xludf.DUMMYFUNCTION("""COMPUTED_VALUE"""),"*!!*")</f>
        <v>*!!*</v>
      </c>
      <c r="H67" s="1" t="str">
        <f>IFERROR(__xludf.DUMMYFUNCTION("""COMPUTED_VALUE"""),"Indep.")</f>
        <v>Indep.</v>
      </c>
    </row>
    <row r="68">
      <c r="A68" s="1">
        <f>IFERROR(__xludf.DUMMYFUNCTION("""COMPUTED_VALUE"""),67.0)</f>
        <v>67</v>
      </c>
      <c r="B68" s="1" t="str">
        <f>IFERROR(__xludf.DUMMYFUNCTION("""COMPUTED_VALUE"""),"Riff-Raff")</f>
        <v>Riff-Raff</v>
      </c>
      <c r="C68" s="1" t="str">
        <f>IFERROR(__xludf.DUMMYFUNCTION("""COMPUTED_VALUE"""),"When *Blind* is selected, create *2**Common**Jokers*
*(Must have room)*")</f>
        <v>When *Blind* is selected, create *2**Common**Jokers*
*(Must have room)*</v>
      </c>
      <c r="D68" s="1" t="str">
        <f>IFERROR(__xludf.DUMMYFUNCTION("""COMPUTED_VALUE"""),"*$6*")</f>
        <v>*$6*</v>
      </c>
      <c r="E68" s="1" t="str">
        <f>IFERROR(__xludf.DUMMYFUNCTION("""COMPUTED_VALUE"""),"Common")</f>
        <v>Common</v>
      </c>
      <c r="F68" s="1" t="str">
        <f>IFERROR(__xludf.DUMMYFUNCTION("""COMPUTED_VALUE"""),"Available from start.")</f>
        <v>Available from start.</v>
      </c>
      <c r="G68" s="1" t="str">
        <f>IFERROR(__xludf.DUMMYFUNCTION("""COMPUTED_VALUE"""),"*!!*")</f>
        <v>*!!*</v>
      </c>
      <c r="H68" s="1" t="str">
        <f>IFERROR(__xludf.DUMMYFUNCTION("""COMPUTED_VALUE"""),"N/A")</f>
        <v>N/A</v>
      </c>
    </row>
    <row r="69">
      <c r="A69" s="1">
        <f>IFERROR(__xludf.DUMMYFUNCTION("""COMPUTED_VALUE"""),68.0)</f>
        <v>68</v>
      </c>
      <c r="B69" s="1" t="str">
        <f>IFERROR(__xludf.DUMMYFUNCTION("""COMPUTED_VALUE"""),"Vampire")</f>
        <v>Vampire</v>
      </c>
      <c r="C69" s="1" t="str">
        <f>IFERROR(__xludf.DUMMYFUNCTION("""COMPUTED_VALUE"""),"This Joker gains *X0.1 Mult* per scoring *Enhanced card* played, removes 
card *Enhancement*
*(Currently X1 Mult)*")</f>
        <v>This Joker gains *X0.1 Mult* per scoring *Enhanced card* played, removes 
card *Enhancement*
*(Currently X1 Mult)*</v>
      </c>
      <c r="D69" s="1" t="str">
        <f>IFERROR(__xludf.DUMMYFUNCTION("""COMPUTED_VALUE"""),"*$7*")</f>
        <v>*$7*</v>
      </c>
      <c r="E69" s="1" t="str">
        <f>IFERROR(__xludf.DUMMYFUNCTION("""COMPUTED_VALUE"""),"Uncommon")</f>
        <v>Uncommon</v>
      </c>
      <c r="F69" s="1" t="str">
        <f>IFERROR(__xludf.DUMMYFUNCTION("""COMPUTED_VALUE"""),"Available from start.")</f>
        <v>Available from start.</v>
      </c>
      <c r="G69" s="1" t="str">
        <f>IFERROR(__xludf.DUMMYFUNCTION("""COMPUTED_VALUE"""),"*Xm*")</f>
        <v>*Xm*</v>
      </c>
      <c r="H69" s="1" t="str">
        <f>IFERROR(__xludf.DUMMYFUNCTION("""COMPUTED_VALUE"""),"Mixed")</f>
        <v>Mixed</v>
      </c>
    </row>
    <row r="70">
      <c r="A70" s="1">
        <f>IFERROR(__xludf.DUMMYFUNCTION("""COMPUTED_VALUE"""),69.0)</f>
        <v>69</v>
      </c>
      <c r="B70" s="1" t="str">
        <f>IFERROR(__xludf.DUMMYFUNCTION("""COMPUTED_VALUE"""),"Shortcut")</f>
        <v>Shortcut</v>
      </c>
      <c r="C70" s="1" t="str">
        <f>IFERROR(__xludf.DUMMYFUNCTION("""COMPUTED_VALUE"""),"Allows *Straights* to be made with gaps of *1 rank*
*(ex: 10 8 6 5 3)*")</f>
        <v>Allows *Straights* to be made with gaps of *1 rank*
*(ex: 10 8 6 5 3)*</v>
      </c>
      <c r="D70" s="1" t="str">
        <f>IFERROR(__xludf.DUMMYFUNCTION("""COMPUTED_VALUE"""),"*$7*")</f>
        <v>*$7*</v>
      </c>
      <c r="E70" s="1" t="str">
        <f>IFERROR(__xludf.DUMMYFUNCTION("""COMPUTED_VALUE"""),"Uncommon")</f>
        <v>Uncommon</v>
      </c>
      <c r="F70" s="1" t="str">
        <f>IFERROR(__xludf.DUMMYFUNCTION("""COMPUTED_VALUE"""),"Available from start.")</f>
        <v>Available from start.</v>
      </c>
      <c r="G70" s="1" t="str">
        <f>IFERROR(__xludf.DUMMYFUNCTION("""COMPUTED_VALUE"""),"*!!*")</f>
        <v>*!!*</v>
      </c>
      <c r="H70" s="1" t="str">
        <f>IFERROR(__xludf.DUMMYFUNCTION("""COMPUTED_VALUE"""),"N/A")</f>
        <v>N/A</v>
      </c>
    </row>
    <row r="71">
      <c r="A71" s="1">
        <f>IFERROR(__xludf.DUMMYFUNCTION("""COMPUTED_VALUE"""),70.0)</f>
        <v>70</v>
      </c>
      <c r="B71" s="1" t="str">
        <f>IFERROR(__xludf.DUMMYFUNCTION("""COMPUTED_VALUE"""),"Hologram")</f>
        <v>Hologram</v>
      </c>
      <c r="C71" s="1" t="str">
        <f>IFERROR(__xludf.DUMMYFUNCTION("""COMPUTED_VALUE"""),"This Joker gains *X0.25 Mult* every time a *playing card* is added to your 
deck 
*(Currently X1 Mult)*")</f>
        <v>This Joker gains *X0.25 Mult* every time a *playing card* is added to your 
deck 
*(Currently X1 Mult)*</v>
      </c>
      <c r="D71" s="1" t="str">
        <f>IFERROR(__xludf.DUMMYFUNCTION("""COMPUTED_VALUE"""),"*$7*")</f>
        <v>*$7*</v>
      </c>
      <c r="E71" s="1" t="str">
        <f>IFERROR(__xludf.DUMMYFUNCTION("""COMPUTED_VALUE"""),"Uncommon")</f>
        <v>Uncommon</v>
      </c>
      <c r="F71" s="1" t="str">
        <f>IFERROR(__xludf.DUMMYFUNCTION("""COMPUTED_VALUE"""),"Available from start.")</f>
        <v>Available from start.</v>
      </c>
      <c r="G71" s="1" t="str">
        <f>IFERROR(__xludf.DUMMYFUNCTION("""COMPUTED_VALUE"""),"*Xm*")</f>
        <v>*Xm*</v>
      </c>
      <c r="H71" s="1" t="str">
        <f>IFERROR(__xludf.DUMMYFUNCTION("""COMPUTED_VALUE"""),"Indep.")</f>
        <v>Indep.</v>
      </c>
    </row>
    <row r="72">
      <c r="A72" s="1">
        <f>IFERROR(__xludf.DUMMYFUNCTION("""COMPUTED_VALUE"""),71.0)</f>
        <v>71</v>
      </c>
      <c r="B72" s="1" t="str">
        <f>IFERROR(__xludf.DUMMYFUNCTION("""COMPUTED_VALUE"""),"Vagabond")</f>
        <v>Vagabond</v>
      </c>
      <c r="C72" s="1" t="str">
        <f>IFERROR(__xludf.DUMMYFUNCTION("""COMPUTED_VALUE"""),"Create a *Tarot* card if hand is played with *$4* or less")</f>
        <v>Create a *Tarot* card if hand is played with *$4* or less</v>
      </c>
      <c r="D72" s="1" t="str">
        <f>IFERROR(__xludf.DUMMYFUNCTION("""COMPUTED_VALUE"""),"*$8*")</f>
        <v>*$8*</v>
      </c>
      <c r="E72" s="1" t="str">
        <f>IFERROR(__xludf.DUMMYFUNCTION("""COMPUTED_VALUE"""),"Rare")</f>
        <v>Rare</v>
      </c>
      <c r="F72" s="1" t="str">
        <f>IFERROR(__xludf.DUMMYFUNCTION("""COMPUTED_VALUE"""),"Available from start.")</f>
        <v>Available from start.</v>
      </c>
      <c r="G72" s="1" t="str">
        <f>IFERROR(__xludf.DUMMYFUNCTION("""COMPUTED_VALUE"""),"*!!*")</f>
        <v>*!!*</v>
      </c>
      <c r="H72" s="1" t="str">
        <f>IFERROR(__xludf.DUMMYFUNCTION("""COMPUTED_VALUE"""),"Indep.")</f>
        <v>Indep.</v>
      </c>
    </row>
    <row r="73">
      <c r="A73" s="1">
        <f>IFERROR(__xludf.DUMMYFUNCTION("""COMPUTED_VALUE"""),72.0)</f>
        <v>72</v>
      </c>
      <c r="B73" s="1" t="str">
        <f>IFERROR(__xludf.DUMMYFUNCTION("""COMPUTED_VALUE"""),"Baron")</f>
        <v>Baron</v>
      </c>
      <c r="C73" s="1" t="str">
        <f>IFERROR(__xludf.DUMMYFUNCTION("""COMPUTED_VALUE"""),"Each *King* held in hand gives *X1.5 Mult*")</f>
        <v>Each *King* held in hand gives *X1.5 Mult*</v>
      </c>
      <c r="D73" s="1" t="str">
        <f>IFERROR(__xludf.DUMMYFUNCTION("""COMPUTED_VALUE"""),"*$8*")</f>
        <v>*$8*</v>
      </c>
      <c r="E73" s="1" t="str">
        <f>IFERROR(__xludf.DUMMYFUNCTION("""COMPUTED_VALUE"""),"Rare")</f>
        <v>Rare</v>
      </c>
      <c r="F73" s="1" t="str">
        <f>IFERROR(__xludf.DUMMYFUNCTION("""COMPUTED_VALUE"""),"Available from start.")</f>
        <v>Available from start.</v>
      </c>
      <c r="G73" s="1" t="str">
        <f>IFERROR(__xludf.DUMMYFUNCTION("""COMPUTED_VALUE"""),"*Xm*")</f>
        <v>*Xm*</v>
      </c>
      <c r="H73" s="1" t="str">
        <f>IFERROR(__xludf.DUMMYFUNCTION("""COMPUTED_VALUE"""),"On Held")</f>
        <v>On Held</v>
      </c>
    </row>
    <row r="74">
      <c r="A74" s="1">
        <f>IFERROR(__xludf.DUMMYFUNCTION("""COMPUTED_VALUE"""),73.0)</f>
        <v>73</v>
      </c>
      <c r="B74" s="1" t="str">
        <f>IFERROR(__xludf.DUMMYFUNCTION("""COMPUTED_VALUE"""),"Cloud 9")</f>
        <v>Cloud 9</v>
      </c>
      <c r="C74" s="1" t="str">
        <f>IFERROR(__xludf.DUMMYFUNCTION("""COMPUTED_VALUE"""),"Earn *$1* for each *9* in your *full deck* at end of round 
*(Currently $4)*")</f>
        <v>Earn *$1* for each *9* in your *full deck* at end of round 
*(Currently $4)*</v>
      </c>
      <c r="D74" s="1" t="str">
        <f>IFERROR(__xludf.DUMMYFUNCTION("""COMPUTED_VALUE"""),"*$7*")</f>
        <v>*$7*</v>
      </c>
      <c r="E74" s="1" t="str">
        <f>IFERROR(__xludf.DUMMYFUNCTION("""COMPUTED_VALUE"""),"Uncommon")</f>
        <v>Uncommon</v>
      </c>
      <c r="F74" s="1" t="str">
        <f>IFERROR(__xludf.DUMMYFUNCTION("""COMPUTED_VALUE"""),"Available from start.")</f>
        <v>Available from start.</v>
      </c>
      <c r="G74" s="1" t="str">
        <f>IFERROR(__xludf.DUMMYFUNCTION("""COMPUTED_VALUE"""),"*+$*")</f>
        <v>*+$*</v>
      </c>
      <c r="H74" s="1" t="str">
        <f>IFERROR(__xludf.DUMMYFUNCTION("""COMPUTED_VALUE"""),"N/A")</f>
        <v>N/A</v>
      </c>
    </row>
    <row r="75">
      <c r="A75" s="1">
        <f>IFERROR(__xludf.DUMMYFUNCTION("""COMPUTED_VALUE"""),74.0)</f>
        <v>74</v>
      </c>
      <c r="B75" s="1" t="str">
        <f>IFERROR(__xludf.DUMMYFUNCTION("""COMPUTED_VALUE"""),"Rocket")</f>
        <v>Rocket</v>
      </c>
      <c r="C75" s="1" t="str">
        <f>IFERROR(__xludf.DUMMYFUNCTION("""COMPUTED_VALUE"""),"Earn *$1* at end of round. Payout increases by *$2* when *Boss Blind* is 
defeated")</f>
        <v>Earn *$1* at end of round. Payout increases by *$2* when *Boss Blind* is 
defeated</v>
      </c>
      <c r="D75" s="1" t="str">
        <f>IFERROR(__xludf.DUMMYFUNCTION("""COMPUTED_VALUE"""),"*$6*")</f>
        <v>*$6*</v>
      </c>
      <c r="E75" s="1" t="str">
        <f>IFERROR(__xludf.DUMMYFUNCTION("""COMPUTED_VALUE"""),"Uncommon")</f>
        <v>Uncommon</v>
      </c>
      <c r="F75" s="1" t="str">
        <f>IFERROR(__xludf.DUMMYFUNCTION("""COMPUTED_VALUE"""),"Available from start.")</f>
        <v>Available from start.</v>
      </c>
      <c r="G75" s="1" t="str">
        <f>IFERROR(__xludf.DUMMYFUNCTION("""COMPUTED_VALUE"""),"*+$*")</f>
        <v>*+$*</v>
      </c>
      <c r="H75" s="1" t="str">
        <f>IFERROR(__xludf.DUMMYFUNCTION("""COMPUTED_VALUE"""),"N/A")</f>
        <v>N/A</v>
      </c>
    </row>
    <row r="76">
      <c r="A76" s="1">
        <f>IFERROR(__xludf.DUMMYFUNCTION("""COMPUTED_VALUE"""),75.0)</f>
        <v>75</v>
      </c>
      <c r="B76" s="1" t="str">
        <f>IFERROR(__xludf.DUMMYFUNCTION("""COMPUTED_VALUE"""),"Obelisk")</f>
        <v>Obelisk</v>
      </c>
      <c r="C76" s="1" t="str">
        <f>IFERROR(__xludf.DUMMYFUNCTION("""COMPUTED_VALUE"""),"This Joker gains *X0.2 Mult* per *consecutive* hand played without playing 
your most played *poker hand*
*(Currently X1 Mult)*")</f>
        <v>This Joker gains *X0.2 Mult* per *consecutive* hand played without playing 
your most played *poker hand*
*(Currently X1 Mult)*</v>
      </c>
      <c r="D76" s="1" t="str">
        <f>IFERROR(__xludf.DUMMYFUNCTION("""COMPUTED_VALUE"""),"*$8*")</f>
        <v>*$8*</v>
      </c>
      <c r="E76" s="1" t="str">
        <f>IFERROR(__xludf.DUMMYFUNCTION("""COMPUTED_VALUE"""),"Rare")</f>
        <v>Rare</v>
      </c>
      <c r="F76" s="1" t="str">
        <f>IFERROR(__xludf.DUMMYFUNCTION("""COMPUTED_VALUE"""),"Available from start.")</f>
        <v>Available from start.</v>
      </c>
      <c r="G76" s="1" t="str">
        <f>IFERROR(__xludf.DUMMYFUNCTION("""COMPUTED_VALUE"""),"*Xm*")</f>
        <v>*Xm*</v>
      </c>
      <c r="H76" s="1" t="str">
        <f>IFERROR(__xludf.DUMMYFUNCTION("""COMPUTED_VALUE"""),"Mixed")</f>
        <v>Mixed</v>
      </c>
    </row>
    <row r="77">
      <c r="A77" s="1">
        <f>IFERROR(__xludf.DUMMYFUNCTION("""COMPUTED_VALUE"""),76.0)</f>
        <v>76</v>
      </c>
      <c r="B77" s="1" t="str">
        <f>IFERROR(__xludf.DUMMYFUNCTION("""COMPUTED_VALUE"""),"Midas Mask")</f>
        <v>Midas Mask</v>
      </c>
      <c r="C77" s="1" t="str">
        <f>IFERROR(__xludf.DUMMYFUNCTION("""COMPUTED_VALUE"""),"All played *face* cards become *Gold* cards when scored")</f>
        <v>All played *face* cards become *Gold* cards when scored</v>
      </c>
      <c r="D77" s="1" t="str">
        <f>IFERROR(__xludf.DUMMYFUNCTION("""COMPUTED_VALUE"""),"*$7*")</f>
        <v>*$7*</v>
      </c>
      <c r="E77" s="1" t="str">
        <f>IFERROR(__xludf.DUMMYFUNCTION("""COMPUTED_VALUE"""),"Uncommon")</f>
        <v>Uncommon</v>
      </c>
      <c r="F77" s="1" t="str">
        <f>IFERROR(__xludf.DUMMYFUNCTION("""COMPUTED_VALUE"""),"Available from start.")</f>
        <v>Available from start.</v>
      </c>
      <c r="G77" s="1" t="str">
        <f>IFERROR(__xludf.DUMMYFUNCTION("""COMPUTED_VALUE"""),"*!!*")</f>
        <v>*!!*</v>
      </c>
      <c r="H77" s="1" t="str">
        <f>IFERROR(__xludf.DUMMYFUNCTION("""COMPUTED_VALUE"""),"On Played")</f>
        <v>On Played</v>
      </c>
    </row>
    <row r="78">
      <c r="A78" s="1">
        <f>IFERROR(__xludf.DUMMYFUNCTION("""COMPUTED_VALUE"""),77.0)</f>
        <v>77</v>
      </c>
      <c r="B78" s="1" t="str">
        <f>IFERROR(__xludf.DUMMYFUNCTION("""COMPUTED_VALUE"""),"Luchador")</f>
        <v>Luchador</v>
      </c>
      <c r="C78" s="1" t="str">
        <f>IFERROR(__xludf.DUMMYFUNCTION("""COMPUTED_VALUE"""),"Sell this card to disable the current *Boss Blind*")</f>
        <v>Sell this card to disable the current *Boss Blind*</v>
      </c>
      <c r="D78" s="1" t="str">
        <f>IFERROR(__xludf.DUMMYFUNCTION("""COMPUTED_VALUE"""),"*$5*")</f>
        <v>*$5*</v>
      </c>
      <c r="E78" s="1" t="str">
        <f>IFERROR(__xludf.DUMMYFUNCTION("""COMPUTED_VALUE"""),"Uncommon")</f>
        <v>Uncommon</v>
      </c>
      <c r="F78" s="1" t="str">
        <f>IFERROR(__xludf.DUMMYFUNCTION("""COMPUTED_VALUE"""),"Available from start.")</f>
        <v>Available from start.</v>
      </c>
      <c r="G78" s="1" t="str">
        <f>IFERROR(__xludf.DUMMYFUNCTION("""COMPUTED_VALUE"""),"*!!*")</f>
        <v>*!!*</v>
      </c>
      <c r="H78" s="1" t="str">
        <f>IFERROR(__xludf.DUMMYFUNCTION("""COMPUTED_VALUE"""),"N/A")</f>
        <v>N/A</v>
      </c>
    </row>
    <row r="79">
      <c r="A79" s="1">
        <f>IFERROR(__xludf.DUMMYFUNCTION("""COMPUTED_VALUE"""),78.0)</f>
        <v>78</v>
      </c>
      <c r="B79" s="1" t="str">
        <f>IFERROR(__xludf.DUMMYFUNCTION("""COMPUTED_VALUE"""),"Photograph")</f>
        <v>Photograph</v>
      </c>
      <c r="C79" s="1" t="str">
        <f>IFERROR(__xludf.DUMMYFUNCTION("""COMPUTED_VALUE"""),"First played *face* card gives *X2 Mult* when scored")</f>
        <v>First played *face* card gives *X2 Mult* when scored</v>
      </c>
      <c r="D79" s="1" t="str">
        <f>IFERROR(__xludf.DUMMYFUNCTION("""COMPUTED_VALUE"""),"*$5*")</f>
        <v>*$5*</v>
      </c>
      <c r="E79" s="1" t="str">
        <f>IFERROR(__xludf.DUMMYFUNCTION("""COMPUTED_VALUE"""),"Common")</f>
        <v>Common</v>
      </c>
      <c r="F79" s="1" t="str">
        <f>IFERROR(__xludf.DUMMYFUNCTION("""COMPUTED_VALUE"""),"Available from start.")</f>
        <v>Available from start.</v>
      </c>
      <c r="G79" s="1" t="str">
        <f>IFERROR(__xludf.DUMMYFUNCTION("""COMPUTED_VALUE"""),"*Xm*")</f>
        <v>*Xm*</v>
      </c>
      <c r="H79" s="1" t="str">
        <f>IFERROR(__xludf.DUMMYFUNCTION("""COMPUTED_VALUE"""),"On Scored")</f>
        <v>On Scored</v>
      </c>
    </row>
    <row r="80">
      <c r="A80" s="1">
        <f>IFERROR(__xludf.DUMMYFUNCTION("""COMPUTED_VALUE"""),79.0)</f>
        <v>79</v>
      </c>
      <c r="B80" s="1" t="str">
        <f>IFERROR(__xludf.DUMMYFUNCTION("""COMPUTED_VALUE"""),"Gift Card")</f>
        <v>Gift Card</v>
      </c>
      <c r="C80" s="1" t="str">
        <f>IFERROR(__xludf.DUMMYFUNCTION("""COMPUTED_VALUE"""),"Add *$1* of *sell value* to every *Joker* and *Consumable* card at end of 
round")</f>
        <v>Add *$1* of *sell value* to every *Joker* and *Consumable* card at end of 
round</v>
      </c>
      <c r="D80" s="1" t="str">
        <f>IFERROR(__xludf.DUMMYFUNCTION("""COMPUTED_VALUE"""),"*$6*")</f>
        <v>*$6*</v>
      </c>
      <c r="E80" s="1" t="str">
        <f>IFERROR(__xludf.DUMMYFUNCTION("""COMPUTED_VALUE"""),"Uncommon")</f>
        <v>Uncommon</v>
      </c>
      <c r="F80" s="1" t="str">
        <f>IFERROR(__xludf.DUMMYFUNCTION("""COMPUTED_VALUE"""),"Available from start.")</f>
        <v>Available from start.</v>
      </c>
      <c r="G80" s="1" t="str">
        <f>IFERROR(__xludf.DUMMYFUNCTION("""COMPUTED_VALUE"""),"*+$*")</f>
        <v>*+$*</v>
      </c>
      <c r="H80" s="1" t="str">
        <f>IFERROR(__xludf.DUMMYFUNCTION("""COMPUTED_VALUE"""),"N/A")</f>
        <v>N/A</v>
      </c>
    </row>
    <row r="81">
      <c r="A81" s="1">
        <f>IFERROR(__xludf.DUMMYFUNCTION("""COMPUTED_VALUE"""),80.0)</f>
        <v>80</v>
      </c>
      <c r="B81" s="1" t="str">
        <f>IFERROR(__xludf.DUMMYFUNCTION("""COMPUTED_VALUE"""),"Turtle Bean")</f>
        <v>Turtle Bean</v>
      </c>
      <c r="C81" s="1" t="str">
        <f>IFERROR(__xludf.DUMMYFUNCTION("""COMPUTED_VALUE"""),"*+5* hand size, reduces by *1* each round")</f>
        <v>*+5* hand size, reduces by *1* each round</v>
      </c>
      <c r="D81" s="1" t="str">
        <f>IFERROR(__xludf.DUMMYFUNCTION("""COMPUTED_VALUE"""),"*$6*")</f>
        <v>*$6*</v>
      </c>
      <c r="E81" s="1" t="str">
        <f>IFERROR(__xludf.DUMMYFUNCTION("""COMPUTED_VALUE"""),"Uncommon")</f>
        <v>Uncommon</v>
      </c>
      <c r="F81" s="1" t="str">
        <f>IFERROR(__xludf.DUMMYFUNCTION("""COMPUTED_VALUE"""),"Available from start.")</f>
        <v>Available from start.</v>
      </c>
      <c r="G81" s="1" t="str">
        <f>IFERROR(__xludf.DUMMYFUNCTION("""COMPUTED_VALUE"""),"*!!*")</f>
        <v>*!!*</v>
      </c>
      <c r="H81" s="1" t="str">
        <f>IFERROR(__xludf.DUMMYFUNCTION("""COMPUTED_VALUE"""),"N/A")</f>
        <v>N/A</v>
      </c>
    </row>
    <row r="82">
      <c r="A82" s="1">
        <f>IFERROR(__xludf.DUMMYFUNCTION("""COMPUTED_VALUE"""),81.0)</f>
        <v>81</v>
      </c>
      <c r="B82" s="1" t="str">
        <f>IFERROR(__xludf.DUMMYFUNCTION("""COMPUTED_VALUE"""),"Erosion")</f>
        <v>Erosion</v>
      </c>
      <c r="C82" s="1" t="str">
        <f>IFERROR(__xludf.DUMMYFUNCTION("""COMPUTED_VALUE"""),"*+4 Mult* for each card below *[the deck's starting size]* in your full 
deck 
*(Currently +0 Mult)*")</f>
        <v>*+4 Mult* for each card below *[the deck's starting size]* in your full 
deck 
*(Currently +0 Mult)*</v>
      </c>
      <c r="D82" s="1" t="str">
        <f>IFERROR(__xludf.DUMMYFUNCTION("""COMPUTED_VALUE"""),"*$6*")</f>
        <v>*$6*</v>
      </c>
      <c r="E82" s="1" t="str">
        <f>IFERROR(__xludf.DUMMYFUNCTION("""COMPUTED_VALUE"""),"Uncommon")</f>
        <v>Uncommon</v>
      </c>
      <c r="F82" s="1" t="str">
        <f>IFERROR(__xludf.DUMMYFUNCTION("""COMPUTED_VALUE"""),"Available from start.")</f>
        <v>Available from start.</v>
      </c>
      <c r="G82" s="1" t="str">
        <f>IFERROR(__xludf.DUMMYFUNCTION("""COMPUTED_VALUE"""),"*+m*")</f>
        <v>*+m*</v>
      </c>
      <c r="H82" s="1" t="str">
        <f>IFERROR(__xludf.DUMMYFUNCTION("""COMPUTED_VALUE"""),"Indep.")</f>
        <v>Indep.</v>
      </c>
    </row>
    <row r="83">
      <c r="A83" s="1">
        <f>IFERROR(__xludf.DUMMYFUNCTION("""COMPUTED_VALUE"""),82.0)</f>
        <v>82</v>
      </c>
      <c r="B83" s="1" t="str">
        <f>IFERROR(__xludf.DUMMYFUNCTION("""COMPUTED_VALUE"""),"Reserved Parking")</f>
        <v>Reserved Parking</v>
      </c>
      <c r="C83" s="1" t="str">
        <f>IFERROR(__xludf.DUMMYFUNCTION("""COMPUTED_VALUE"""),"Each *face* card held in hand has a *1 in 2* chance to give *$1*")</f>
        <v>Each *face* card held in hand has a *1 in 2* chance to give *$1*</v>
      </c>
      <c r="D83" s="1" t="str">
        <f>IFERROR(__xludf.DUMMYFUNCTION("""COMPUTED_VALUE"""),"*$6*")</f>
        <v>*$6*</v>
      </c>
      <c r="E83" s="1" t="str">
        <f>IFERROR(__xludf.DUMMYFUNCTION("""COMPUTED_VALUE"""),"Common")</f>
        <v>Common</v>
      </c>
      <c r="F83" s="1" t="str">
        <f>IFERROR(__xludf.DUMMYFUNCTION("""COMPUTED_VALUE"""),"Available from start.")</f>
        <v>Available from start.</v>
      </c>
      <c r="G83" s="1" t="str">
        <f>IFERROR(__xludf.DUMMYFUNCTION("""COMPUTED_VALUE"""),"*+$*")</f>
        <v>*+$*</v>
      </c>
      <c r="H83" s="1" t="str">
        <f>IFERROR(__xludf.DUMMYFUNCTION("""COMPUTED_VALUE"""),"On Held")</f>
        <v>On Held</v>
      </c>
    </row>
    <row r="84">
      <c r="A84" s="1">
        <f>IFERROR(__xludf.DUMMYFUNCTION("""COMPUTED_VALUE"""),83.0)</f>
        <v>83</v>
      </c>
      <c r="B84" s="1" t="str">
        <f>IFERROR(__xludf.DUMMYFUNCTION("""COMPUTED_VALUE"""),"Mail-In Rebate")</f>
        <v>Mail-In Rebate</v>
      </c>
      <c r="C84" s="1" t="str">
        <f>IFERROR(__xludf.DUMMYFUNCTION("""COMPUTED_VALUE"""),"Earn *$5* for each discarded *[rank]*, rank changes every round")</f>
        <v>Earn *$5* for each discarded *[rank]*, rank changes every round</v>
      </c>
      <c r="D84" s="1" t="str">
        <f>IFERROR(__xludf.DUMMYFUNCTION("""COMPUTED_VALUE"""),"*$4*")</f>
        <v>*$4*</v>
      </c>
      <c r="E84" s="1" t="str">
        <f>IFERROR(__xludf.DUMMYFUNCTION("""COMPUTED_VALUE"""),"Common")</f>
        <v>Common</v>
      </c>
      <c r="F84" s="1" t="str">
        <f>IFERROR(__xludf.DUMMYFUNCTION("""COMPUTED_VALUE"""),"Available from start.")</f>
        <v>Available from start.</v>
      </c>
      <c r="G84" s="1" t="str">
        <f>IFERROR(__xludf.DUMMYFUNCTION("""COMPUTED_VALUE"""),"*+$*")</f>
        <v>*+$*</v>
      </c>
      <c r="H84" s="1" t="str">
        <f>IFERROR(__xludf.DUMMYFUNCTION("""COMPUTED_VALUE"""),"On Discard")</f>
        <v>On Discard</v>
      </c>
    </row>
    <row r="85">
      <c r="A85" s="1">
        <f>IFERROR(__xludf.DUMMYFUNCTION("""COMPUTED_VALUE"""),84.0)</f>
        <v>84</v>
      </c>
      <c r="B85" s="1" t="str">
        <f>IFERROR(__xludf.DUMMYFUNCTION("""COMPUTED_VALUE"""),"To the Moon")</f>
        <v>To the Moon</v>
      </c>
      <c r="C85" s="1" t="str">
        <f>IFERROR(__xludf.DUMMYFUNCTION("""COMPUTED_VALUE"""),"Earn an extra *$1* of *interest* for every *$5* you have at end of round")</f>
        <v>Earn an extra *$1* of *interest* for every *$5* you have at end of round</v>
      </c>
      <c r="D85" s="1" t="str">
        <f>IFERROR(__xludf.DUMMYFUNCTION("""COMPUTED_VALUE"""),"*$5*")</f>
        <v>*$5*</v>
      </c>
      <c r="E85" s="1" t="str">
        <f>IFERROR(__xludf.DUMMYFUNCTION("""COMPUTED_VALUE"""),"Uncommon")</f>
        <v>Uncommon</v>
      </c>
      <c r="F85" s="1" t="str">
        <f>IFERROR(__xludf.DUMMYFUNCTION("""COMPUTED_VALUE"""),"Available from start.")</f>
        <v>Available from start.</v>
      </c>
      <c r="G85" s="1" t="str">
        <f>IFERROR(__xludf.DUMMYFUNCTION("""COMPUTED_VALUE"""),"*+$*")</f>
        <v>*+$*</v>
      </c>
      <c r="H85" s="1" t="str">
        <f>IFERROR(__xludf.DUMMYFUNCTION("""COMPUTED_VALUE"""),"N/A")</f>
        <v>N/A</v>
      </c>
    </row>
    <row r="86">
      <c r="A86" s="1">
        <f>IFERROR(__xludf.DUMMYFUNCTION("""COMPUTED_VALUE"""),85.0)</f>
        <v>85</v>
      </c>
      <c r="B86" s="1" t="str">
        <f>IFERROR(__xludf.DUMMYFUNCTION("""COMPUTED_VALUE"""),"Hallucination")</f>
        <v>Hallucination</v>
      </c>
      <c r="C86" s="1" t="str">
        <f>IFERROR(__xludf.DUMMYFUNCTION("""COMPUTED_VALUE"""),"*1 in 2* chance to create a *Tarot* card when any *Booster Pack* is opened 
*(Must have room)*")</f>
        <v>*1 in 2* chance to create a *Tarot* card when any *Booster Pack* is opened 
*(Must have room)*</v>
      </c>
      <c r="D86" s="1" t="str">
        <f>IFERROR(__xludf.DUMMYFUNCTION("""COMPUTED_VALUE"""),"*$4*")</f>
        <v>*$4*</v>
      </c>
      <c r="E86" s="1" t="str">
        <f>IFERROR(__xludf.DUMMYFUNCTION("""COMPUTED_VALUE"""),"Common")</f>
        <v>Common</v>
      </c>
      <c r="F86" s="1" t="str">
        <f>IFERROR(__xludf.DUMMYFUNCTION("""COMPUTED_VALUE"""),"Available from start.")</f>
        <v>Available from start.</v>
      </c>
      <c r="G86" s="1" t="str">
        <f>IFERROR(__xludf.DUMMYFUNCTION("""COMPUTED_VALUE"""),"*!!*")</f>
        <v>*!!*</v>
      </c>
      <c r="H86" s="1" t="str">
        <f>IFERROR(__xludf.DUMMYFUNCTION("""COMPUTED_VALUE"""),"N/A")</f>
        <v>N/A</v>
      </c>
    </row>
    <row r="87">
      <c r="A87" s="1">
        <f>IFERROR(__xludf.DUMMYFUNCTION("""COMPUTED_VALUE"""),86.0)</f>
        <v>86</v>
      </c>
      <c r="B87" s="1" t="str">
        <f>IFERROR(__xludf.DUMMYFUNCTION("""COMPUTED_VALUE"""),"Fortune Teller")</f>
        <v>Fortune Teller</v>
      </c>
      <c r="C87" s="1" t="str">
        <f>IFERROR(__xludf.DUMMYFUNCTION("""COMPUTED_VALUE"""),"*+1 Mult* per *Tarot* card used this run 
*(Currently +0)*")</f>
        <v>*+1 Mult* per *Tarot* card used this run 
*(Currently +0)*</v>
      </c>
      <c r="D87" s="1" t="str">
        <f>IFERROR(__xludf.DUMMYFUNCTION("""COMPUTED_VALUE"""),"*$6*")</f>
        <v>*$6*</v>
      </c>
      <c r="E87" s="1" t="str">
        <f>IFERROR(__xludf.DUMMYFUNCTION("""COMPUTED_VALUE"""),"Common")</f>
        <v>Common</v>
      </c>
      <c r="F87" s="1" t="str">
        <f>IFERROR(__xludf.DUMMYFUNCTION("""COMPUTED_VALUE"""),"Available from start.")</f>
        <v>Available from start.</v>
      </c>
      <c r="G87" s="1" t="str">
        <f>IFERROR(__xludf.DUMMYFUNCTION("""COMPUTED_VALUE"""),"*+m*")</f>
        <v>*+m*</v>
      </c>
      <c r="H87" s="1" t="str">
        <f>IFERROR(__xludf.DUMMYFUNCTION("""COMPUTED_VALUE"""),"Indep.")</f>
        <v>Indep.</v>
      </c>
    </row>
    <row r="88">
      <c r="A88" s="1">
        <f>IFERROR(__xludf.DUMMYFUNCTION("""COMPUTED_VALUE"""),87.0)</f>
        <v>87</v>
      </c>
      <c r="B88" s="1" t="str">
        <f>IFERROR(__xludf.DUMMYFUNCTION("""COMPUTED_VALUE"""),"Juggler")</f>
        <v>Juggler</v>
      </c>
      <c r="C88" s="1" t="str">
        <f>IFERROR(__xludf.DUMMYFUNCTION("""COMPUTED_VALUE"""),"*+1* hand size")</f>
        <v>*+1* hand size</v>
      </c>
      <c r="D88" s="1" t="str">
        <f>IFERROR(__xludf.DUMMYFUNCTION("""COMPUTED_VALUE"""),"*$4*")</f>
        <v>*$4*</v>
      </c>
      <c r="E88" s="1" t="str">
        <f>IFERROR(__xludf.DUMMYFUNCTION("""COMPUTED_VALUE"""),"Common")</f>
        <v>Common</v>
      </c>
      <c r="F88" s="1" t="str">
        <f>IFERROR(__xludf.DUMMYFUNCTION("""COMPUTED_VALUE"""),"Available from start.")</f>
        <v>Available from start.</v>
      </c>
      <c r="G88" s="1" t="str">
        <f>IFERROR(__xludf.DUMMYFUNCTION("""COMPUTED_VALUE"""),"*!!*")</f>
        <v>*!!*</v>
      </c>
      <c r="H88" s="1" t="str">
        <f>IFERROR(__xludf.DUMMYFUNCTION("""COMPUTED_VALUE"""),"N/A")</f>
        <v>N/A</v>
      </c>
    </row>
    <row r="89">
      <c r="A89" s="1">
        <f>IFERROR(__xludf.DUMMYFUNCTION("""COMPUTED_VALUE"""),88.0)</f>
        <v>88</v>
      </c>
      <c r="B89" s="1" t="str">
        <f>IFERROR(__xludf.DUMMYFUNCTION("""COMPUTED_VALUE"""),"Drunkard")</f>
        <v>Drunkard</v>
      </c>
      <c r="C89" s="1" t="str">
        <f>IFERROR(__xludf.DUMMYFUNCTION("""COMPUTED_VALUE"""),"*+1* discard each round")</f>
        <v>*+1* discard each round</v>
      </c>
      <c r="D89" s="1" t="str">
        <f>IFERROR(__xludf.DUMMYFUNCTION("""COMPUTED_VALUE"""),"*$4*")</f>
        <v>*$4*</v>
      </c>
      <c r="E89" s="1" t="str">
        <f>IFERROR(__xludf.DUMMYFUNCTION("""COMPUTED_VALUE"""),"Common")</f>
        <v>Common</v>
      </c>
      <c r="F89" s="1" t="str">
        <f>IFERROR(__xludf.DUMMYFUNCTION("""COMPUTED_VALUE"""),"Available from start.")</f>
        <v>Available from start.</v>
      </c>
      <c r="G89" s="1" t="str">
        <f>IFERROR(__xludf.DUMMYFUNCTION("""COMPUTED_VALUE"""),"*!!*")</f>
        <v>*!!*</v>
      </c>
      <c r="H89" s="1" t="str">
        <f>IFERROR(__xludf.DUMMYFUNCTION("""COMPUTED_VALUE"""),"N/A")</f>
        <v>N/A</v>
      </c>
    </row>
    <row r="90">
      <c r="A90" s="1">
        <f>IFERROR(__xludf.DUMMYFUNCTION("""COMPUTED_VALUE"""),89.0)</f>
        <v>89</v>
      </c>
      <c r="B90" s="1" t="str">
        <f>IFERROR(__xludf.DUMMYFUNCTION("""COMPUTED_VALUE"""),"Stone Joker")</f>
        <v>Stone Joker</v>
      </c>
      <c r="C90" s="1" t="str">
        <f>IFERROR(__xludf.DUMMYFUNCTION("""COMPUTED_VALUE"""),"Gives *+25* *Chips* for each *Stone Card* in your *full deck*
*(Currently +0 Chips)*")</f>
        <v>Gives *+25* *Chips* for each *Stone Card* in your *full deck*
*(Currently +0 Chips)*</v>
      </c>
      <c r="D90" s="1" t="str">
        <f>IFERROR(__xludf.DUMMYFUNCTION("""COMPUTED_VALUE"""),"*$6*")</f>
        <v>*$6*</v>
      </c>
      <c r="E90" s="1" t="str">
        <f>IFERROR(__xludf.DUMMYFUNCTION("""COMPUTED_VALUE"""),"Uncommon")</f>
        <v>Uncommon</v>
      </c>
      <c r="F90" s="1" t="str">
        <f>IFERROR(__xludf.DUMMYFUNCTION("""COMPUTED_VALUE"""),"Available from start. (Can only appear in the shop when there is a Stone 
Card in the deck.)")</f>
        <v>Available from start. (Can only appear in the shop when there is a Stone 
Card in the deck.)</v>
      </c>
      <c r="G90" s="1" t="str">
        <f>IFERROR(__xludf.DUMMYFUNCTION("""COMPUTED_VALUE"""),"*+c*")</f>
        <v>*+c*</v>
      </c>
      <c r="H90" s="1" t="str">
        <f>IFERROR(__xludf.DUMMYFUNCTION("""COMPUTED_VALUE"""),"Indep.")</f>
        <v>Indep.</v>
      </c>
    </row>
    <row r="91">
      <c r="A91" s="1">
        <f>IFERROR(__xludf.DUMMYFUNCTION("""COMPUTED_VALUE"""),90.0)</f>
        <v>90</v>
      </c>
      <c r="B91" s="1" t="str">
        <f>IFERROR(__xludf.DUMMYFUNCTION("""COMPUTED_VALUE"""),"Golden Joker")</f>
        <v>Golden Joker</v>
      </c>
      <c r="C91" s="1" t="str">
        <f>IFERROR(__xludf.DUMMYFUNCTION("""COMPUTED_VALUE"""),"Earn *$4* at end of round")</f>
        <v>Earn *$4* at end of round</v>
      </c>
      <c r="D91" s="1" t="str">
        <f>IFERROR(__xludf.DUMMYFUNCTION("""COMPUTED_VALUE"""),"*$6*")</f>
        <v>*$6*</v>
      </c>
      <c r="E91" s="1" t="str">
        <f>IFERROR(__xludf.DUMMYFUNCTION("""COMPUTED_VALUE"""),"Common")</f>
        <v>Common</v>
      </c>
      <c r="F91" s="1" t="str">
        <f>IFERROR(__xludf.DUMMYFUNCTION("""COMPUTED_VALUE"""),"Available from start.")</f>
        <v>Available from start.</v>
      </c>
      <c r="G91" s="1" t="str">
        <f>IFERROR(__xludf.DUMMYFUNCTION("""COMPUTED_VALUE"""),"*+$*")</f>
        <v>*+$*</v>
      </c>
      <c r="H91" s="1" t="str">
        <f>IFERROR(__xludf.DUMMYFUNCTION("""COMPUTED_VALUE"""),"N/A")</f>
        <v>N/A</v>
      </c>
    </row>
    <row r="92">
      <c r="A92" s="1">
        <f>IFERROR(__xludf.DUMMYFUNCTION("""COMPUTED_VALUE"""),91.0)</f>
        <v>91</v>
      </c>
      <c r="B92" s="1" t="str">
        <f>IFERROR(__xludf.DUMMYFUNCTION("""COMPUTED_VALUE"""),"Lucky Cat")</f>
        <v>Lucky Cat</v>
      </c>
      <c r="C92" s="1" t="str">
        <f>IFERROR(__xludf.DUMMYFUNCTION("""COMPUTED_VALUE"""),"This Joker gains *X0.25 Mult* every time a *Lucky* card *successfully* 
triggers 
*(Currently X1 Mult)*")</f>
        <v>This Joker gains *X0.25 Mult* every time a *Lucky* card *successfully* 
triggers 
*(Currently X1 Mult)*</v>
      </c>
      <c r="D92" s="1" t="str">
        <f>IFERROR(__xludf.DUMMYFUNCTION("""COMPUTED_VALUE"""),"*$6*")</f>
        <v>*$6*</v>
      </c>
      <c r="E92" s="1" t="str">
        <f>IFERROR(__xludf.DUMMYFUNCTION("""COMPUTED_VALUE"""),"Uncommon")</f>
        <v>Uncommon</v>
      </c>
      <c r="F92" s="1" t="str">
        <f>IFERROR(__xludf.DUMMYFUNCTION("""COMPUTED_VALUE"""),"Available from start. (Can only appear in the shop when there is a Lucky 
Card in the deck.)")</f>
        <v>Available from start. (Can only appear in the shop when there is a Lucky 
Card in the deck.)</v>
      </c>
      <c r="G92" s="1" t="str">
        <f>IFERROR(__xludf.DUMMYFUNCTION("""COMPUTED_VALUE"""),"*Xm*")</f>
        <v>*Xm*</v>
      </c>
      <c r="H92" s="1" t="str">
        <f>IFERROR(__xludf.DUMMYFUNCTION("""COMPUTED_VALUE"""),"Mixed")</f>
        <v>Mixed</v>
      </c>
    </row>
    <row r="93">
      <c r="A93" s="1">
        <f>IFERROR(__xludf.DUMMYFUNCTION("""COMPUTED_VALUE"""),92.0)</f>
        <v>92</v>
      </c>
      <c r="B93" s="1" t="str">
        <f>IFERROR(__xludf.DUMMYFUNCTION("""COMPUTED_VALUE"""),"Baseball Card")</f>
        <v>Baseball Card</v>
      </c>
      <c r="C93" s="1" t="str">
        <f>IFERROR(__xludf.DUMMYFUNCTION("""COMPUTED_VALUE"""),"*Uncommon* Jokers each give *X1.5 Mult*")</f>
        <v>*Uncommon* Jokers each give *X1.5 Mult*</v>
      </c>
      <c r="D93" s="1" t="str">
        <f>IFERROR(__xludf.DUMMYFUNCTION("""COMPUTED_VALUE"""),"*$8*")</f>
        <v>*$8*</v>
      </c>
      <c r="E93" s="1" t="str">
        <f>IFERROR(__xludf.DUMMYFUNCTION("""COMPUTED_VALUE"""),"Rare")</f>
        <v>Rare</v>
      </c>
      <c r="F93" s="1" t="str">
        <f>IFERROR(__xludf.DUMMYFUNCTION("""COMPUTED_VALUE"""),"Available from start.")</f>
        <v>Available from start.</v>
      </c>
      <c r="G93" s="1" t="str">
        <f>IFERROR(__xludf.DUMMYFUNCTION("""COMPUTED_VALUE"""),"*Xm*")</f>
        <v>*Xm*</v>
      </c>
      <c r="H93" s="1" t="str">
        <f>IFERROR(__xludf.DUMMYFUNCTION("""COMPUTED_VALUE"""),"On Other Jokers")</f>
        <v>On Other Jokers</v>
      </c>
    </row>
    <row r="94">
      <c r="A94" s="1">
        <f>IFERROR(__xludf.DUMMYFUNCTION("""COMPUTED_VALUE"""),93.0)</f>
        <v>93</v>
      </c>
      <c r="B94" s="1" t="str">
        <f>IFERROR(__xludf.DUMMYFUNCTION("""COMPUTED_VALUE"""),"Bull")</f>
        <v>Bull</v>
      </c>
      <c r="C94" s="1" t="str">
        <f>IFERROR(__xludf.DUMMYFUNCTION("""COMPUTED_VALUE"""),"*+2* *Chips* for each *$1* you have 
*(Currently +0 Chips)*")</f>
        <v>*+2* *Chips* for each *$1* you have 
*(Currently +0 Chips)*</v>
      </c>
      <c r="D94" s="1" t="str">
        <f>IFERROR(__xludf.DUMMYFUNCTION("""COMPUTED_VALUE"""),"*$6*")</f>
        <v>*$6*</v>
      </c>
      <c r="E94" s="1" t="str">
        <f>IFERROR(__xludf.DUMMYFUNCTION("""COMPUTED_VALUE"""),"Uncommon")</f>
        <v>Uncommon</v>
      </c>
      <c r="F94" s="1" t="str">
        <f>IFERROR(__xludf.DUMMYFUNCTION("""COMPUTED_VALUE"""),"Available from start.")</f>
        <v>Available from start.</v>
      </c>
      <c r="G94" s="1" t="str">
        <f>IFERROR(__xludf.DUMMYFUNCTION("""COMPUTED_VALUE"""),"*+c*")</f>
        <v>*+c*</v>
      </c>
      <c r="H94" s="1" t="str">
        <f>IFERROR(__xludf.DUMMYFUNCTION("""COMPUTED_VALUE"""),"Indep.")</f>
        <v>Indep.</v>
      </c>
    </row>
    <row r="95">
      <c r="A95" s="1">
        <f>IFERROR(__xludf.DUMMYFUNCTION("""COMPUTED_VALUE"""),94.0)</f>
        <v>94</v>
      </c>
      <c r="B95" s="1" t="str">
        <f>IFERROR(__xludf.DUMMYFUNCTION("""COMPUTED_VALUE"""),"Diet Cola")</f>
        <v>Diet Cola</v>
      </c>
      <c r="C95" s="1" t="str">
        <f>IFERROR(__xludf.DUMMYFUNCTION("""COMPUTED_VALUE"""),"Sell this card to create a free *Double Tag*")</f>
        <v>Sell this card to create a free *Double Tag*</v>
      </c>
      <c r="D95" s="1" t="str">
        <f>IFERROR(__xludf.DUMMYFUNCTION("""COMPUTED_VALUE"""),"*$6*")</f>
        <v>*$6*</v>
      </c>
      <c r="E95" s="1" t="str">
        <f>IFERROR(__xludf.DUMMYFUNCTION("""COMPUTED_VALUE"""),"Uncommon")</f>
        <v>Uncommon</v>
      </c>
      <c r="F95" s="1" t="str">
        <f>IFERROR(__xludf.DUMMYFUNCTION("""COMPUTED_VALUE"""),"Available from start.")</f>
        <v>Available from start.</v>
      </c>
      <c r="G95" s="1" t="str">
        <f>IFERROR(__xludf.DUMMYFUNCTION("""COMPUTED_VALUE"""),"*!!*")</f>
        <v>*!!*</v>
      </c>
      <c r="H95" s="1" t="str">
        <f>IFERROR(__xludf.DUMMYFUNCTION("""COMPUTED_VALUE"""),"N/A")</f>
        <v>N/A</v>
      </c>
    </row>
    <row r="96">
      <c r="A96" s="1">
        <f>IFERROR(__xludf.DUMMYFUNCTION("""COMPUTED_VALUE"""),95.0)</f>
        <v>95</v>
      </c>
      <c r="B96" s="1" t="str">
        <f>IFERROR(__xludf.DUMMYFUNCTION("""COMPUTED_VALUE"""),"Trading Card")</f>
        <v>Trading Card</v>
      </c>
      <c r="C96" s="1" t="str">
        <f>IFERROR(__xludf.DUMMYFUNCTION("""COMPUTED_VALUE"""),"If *first discard* of round has only *1* card, destroy it and earn *$3*")</f>
        <v>If *first discard* of round has only *1* card, destroy it and earn *$3*</v>
      </c>
      <c r="D96" s="1" t="str">
        <f>IFERROR(__xludf.DUMMYFUNCTION("""COMPUTED_VALUE"""),"*$6*")</f>
        <v>*$6*</v>
      </c>
      <c r="E96" s="1" t="str">
        <f>IFERROR(__xludf.DUMMYFUNCTION("""COMPUTED_VALUE"""),"Uncommon")</f>
        <v>Uncommon</v>
      </c>
      <c r="F96" s="1" t="str">
        <f>IFERROR(__xludf.DUMMYFUNCTION("""COMPUTED_VALUE"""),"Available from start.")</f>
        <v>Available from start.</v>
      </c>
      <c r="G96" s="1" t="str">
        <f>IFERROR(__xludf.DUMMYFUNCTION("""COMPUTED_VALUE"""),"*+$*")</f>
        <v>*+$*</v>
      </c>
      <c r="H96" s="1" t="str">
        <f>IFERROR(__xludf.DUMMYFUNCTION("""COMPUTED_VALUE"""),"On Discard")</f>
        <v>On Discard</v>
      </c>
    </row>
    <row r="97">
      <c r="A97" s="1">
        <f>IFERROR(__xludf.DUMMYFUNCTION("""COMPUTED_VALUE"""),96.0)</f>
        <v>96</v>
      </c>
      <c r="B97" s="1" t="str">
        <f>IFERROR(__xludf.DUMMYFUNCTION("""COMPUTED_VALUE"""),"Flash Card")</f>
        <v>Flash Card</v>
      </c>
      <c r="C97" s="1" t="str">
        <f>IFERROR(__xludf.DUMMYFUNCTION("""COMPUTED_VALUE"""),"This Joker gains *+2 Mult* per *reroll* in the shop
*(Currently +0 Mult)*")</f>
        <v>This Joker gains *+2 Mult* per *reroll* in the shop
*(Currently +0 Mult)*</v>
      </c>
      <c r="D97" s="1" t="str">
        <f>IFERROR(__xludf.DUMMYFUNCTION("""COMPUTED_VALUE"""),"*$5*")</f>
        <v>*$5*</v>
      </c>
      <c r="E97" s="1" t="str">
        <f>IFERROR(__xludf.DUMMYFUNCTION("""COMPUTED_VALUE"""),"Uncommon")</f>
        <v>Uncommon</v>
      </c>
      <c r="F97" s="1" t="str">
        <f>IFERROR(__xludf.DUMMYFUNCTION("""COMPUTED_VALUE"""),"Available from start.")</f>
        <v>Available from start.</v>
      </c>
      <c r="G97" s="1" t="str">
        <f>IFERROR(__xludf.DUMMYFUNCTION("""COMPUTED_VALUE"""),"*+m*")</f>
        <v>*+m*</v>
      </c>
      <c r="H97" s="1" t="str">
        <f>IFERROR(__xludf.DUMMYFUNCTION("""COMPUTED_VALUE"""),"Indep.")</f>
        <v>Indep.</v>
      </c>
    </row>
    <row r="98">
      <c r="A98" s="1">
        <f>IFERROR(__xludf.DUMMYFUNCTION("""COMPUTED_VALUE"""),97.0)</f>
        <v>97</v>
      </c>
      <c r="B98" s="1" t="str">
        <f>IFERROR(__xludf.DUMMYFUNCTION("""COMPUTED_VALUE"""),"Popcorn")</f>
        <v>Popcorn</v>
      </c>
      <c r="C98" s="1" t="str">
        <f>IFERROR(__xludf.DUMMYFUNCTION("""COMPUTED_VALUE"""),"*+20 Mult*
*-4 Mult* per round played")</f>
        <v>*+20 Mult*
*-4 Mult* per round played</v>
      </c>
      <c r="D98" s="1" t="str">
        <f>IFERROR(__xludf.DUMMYFUNCTION("""COMPUTED_VALUE"""),"*$5*")</f>
        <v>*$5*</v>
      </c>
      <c r="E98" s="1" t="str">
        <f>IFERROR(__xludf.DUMMYFUNCTION("""COMPUTED_VALUE"""),"Common")</f>
        <v>Common</v>
      </c>
      <c r="F98" s="1" t="str">
        <f>IFERROR(__xludf.DUMMYFUNCTION("""COMPUTED_VALUE"""),"Available from start.")</f>
        <v>Available from start.</v>
      </c>
      <c r="G98" s="1" t="str">
        <f>IFERROR(__xludf.DUMMYFUNCTION("""COMPUTED_VALUE"""),"*+m*")</f>
        <v>*+m*</v>
      </c>
      <c r="H98" s="1" t="str">
        <f>IFERROR(__xludf.DUMMYFUNCTION("""COMPUTED_VALUE"""),"Indep.")</f>
        <v>Indep.</v>
      </c>
    </row>
    <row r="99">
      <c r="A99" s="1">
        <f>IFERROR(__xludf.DUMMYFUNCTION("""COMPUTED_VALUE"""),98.0)</f>
        <v>98</v>
      </c>
      <c r="B99" s="1" t="str">
        <f>IFERROR(__xludf.DUMMYFUNCTION("""COMPUTED_VALUE"""),"Spare Trousers")</f>
        <v>Spare Trousers</v>
      </c>
      <c r="C99" s="1" t="str">
        <f>IFERROR(__xludf.DUMMYFUNCTION("""COMPUTED_VALUE"""),"This Joker gains *+2 Mult* if played hand contains a *Two Pair*
*(Currently +0 Mult)*")</f>
        <v>This Joker gains *+2 Mult* if played hand contains a *Two Pair*
*(Currently +0 Mult)*</v>
      </c>
      <c r="D99" s="1" t="str">
        <f>IFERROR(__xludf.DUMMYFUNCTION("""COMPUTED_VALUE"""),"*$6*")</f>
        <v>*$6*</v>
      </c>
      <c r="E99" s="1" t="str">
        <f>IFERROR(__xludf.DUMMYFUNCTION("""COMPUTED_VALUE"""),"Uncommon")</f>
        <v>Uncommon</v>
      </c>
      <c r="F99" s="1" t="str">
        <f>IFERROR(__xludf.DUMMYFUNCTION("""COMPUTED_VALUE"""),"Available from start.")</f>
        <v>Available from start.</v>
      </c>
      <c r="G99" s="1" t="str">
        <f>IFERROR(__xludf.DUMMYFUNCTION("""COMPUTED_VALUE"""),"*+m*")</f>
        <v>*+m*</v>
      </c>
      <c r="H99" s="1" t="str">
        <f>IFERROR(__xludf.DUMMYFUNCTION("""COMPUTED_VALUE"""),"Mixed")</f>
        <v>Mixed</v>
      </c>
    </row>
    <row r="100">
      <c r="A100" s="1">
        <f>IFERROR(__xludf.DUMMYFUNCTION("""COMPUTED_VALUE"""),99.0)</f>
        <v>99</v>
      </c>
      <c r="B100" s="1" t="str">
        <f>IFERROR(__xludf.DUMMYFUNCTION("""COMPUTED_VALUE"""),"Ancient Joker")</f>
        <v>Ancient Joker</v>
      </c>
      <c r="C100" s="1" t="str">
        <f>IFERROR(__xludf.DUMMYFUNCTION("""COMPUTED_VALUE"""),"Each played card with *[suit]* gives *X1.5 Mult* when scored, 
suit changes at end of round")</f>
        <v>Each played card with *[suit]* gives *X1.5 Mult* when scored, 
suit changes at end of round</v>
      </c>
      <c r="D100" s="1" t="str">
        <f>IFERROR(__xludf.DUMMYFUNCTION("""COMPUTED_VALUE"""),"*$8*")</f>
        <v>*$8*</v>
      </c>
      <c r="E100" s="1" t="str">
        <f>IFERROR(__xludf.DUMMYFUNCTION("""COMPUTED_VALUE"""),"Rare")</f>
        <v>Rare</v>
      </c>
      <c r="F100" s="1" t="str">
        <f>IFERROR(__xludf.DUMMYFUNCTION("""COMPUTED_VALUE"""),"Available from start.")</f>
        <v>Available from start.</v>
      </c>
      <c r="G100" s="1" t="str">
        <f>IFERROR(__xludf.DUMMYFUNCTION("""COMPUTED_VALUE"""),"*Xm*")</f>
        <v>*Xm*</v>
      </c>
      <c r="H100" s="1" t="str">
        <f>IFERROR(__xludf.DUMMYFUNCTION("""COMPUTED_VALUE"""),"On Scored")</f>
        <v>On Scored</v>
      </c>
    </row>
    <row r="101">
      <c r="A101" s="1">
        <f>IFERROR(__xludf.DUMMYFUNCTION("""COMPUTED_VALUE"""),100.0)</f>
        <v>100</v>
      </c>
      <c r="B101" s="1" t="str">
        <f>IFERROR(__xludf.DUMMYFUNCTION("""COMPUTED_VALUE"""),"Ramen")</f>
        <v>Ramen</v>
      </c>
      <c r="C101" s="1" t="str">
        <f>IFERROR(__xludf.DUMMYFUNCTION("""COMPUTED_VALUE"""),"*X2 Mult*, loses *X0.01 Mult* per *card* discarded")</f>
        <v>*X2 Mult*, loses *X0.01 Mult* per *card* discarded</v>
      </c>
      <c r="D101" s="1" t="str">
        <f>IFERROR(__xludf.DUMMYFUNCTION("""COMPUTED_VALUE"""),"*$6*")</f>
        <v>*$6*</v>
      </c>
      <c r="E101" s="1" t="str">
        <f>IFERROR(__xludf.DUMMYFUNCTION("""COMPUTED_VALUE"""),"Uncommon")</f>
        <v>Uncommon</v>
      </c>
      <c r="F101" s="1" t="str">
        <f>IFERROR(__xludf.DUMMYFUNCTION("""COMPUTED_VALUE"""),"Available from start.")</f>
        <v>Available from start.</v>
      </c>
      <c r="G101" s="1" t="str">
        <f>IFERROR(__xludf.DUMMYFUNCTION("""COMPUTED_VALUE"""),"*Xm*")</f>
        <v>*Xm*</v>
      </c>
      <c r="H101" s="1" t="str">
        <f>IFERROR(__xludf.DUMMYFUNCTION("""COMPUTED_VALUE"""),"Mixed")</f>
        <v>Mixed</v>
      </c>
    </row>
    <row r="102">
      <c r="A102" s="1">
        <f>IFERROR(__xludf.DUMMYFUNCTION("""COMPUTED_VALUE"""),101.0)</f>
        <v>101</v>
      </c>
      <c r="B102" s="1" t="str">
        <f>IFERROR(__xludf.DUMMYFUNCTION("""COMPUTED_VALUE"""),"Walkie Talkie")</f>
        <v>Walkie Talkie</v>
      </c>
      <c r="C102" s="1" t="str">
        <f>IFERROR(__xludf.DUMMYFUNCTION("""COMPUTED_VALUE"""),"Each played *10* or *4* gives *+10* *Chips* and *+4 Mult* when scored")</f>
        <v>Each played *10* or *4* gives *+10* *Chips* and *+4 Mult* when scored</v>
      </c>
      <c r="D102" s="1" t="str">
        <f>IFERROR(__xludf.DUMMYFUNCTION("""COMPUTED_VALUE"""),"*$4*")</f>
        <v>*$4*</v>
      </c>
      <c r="E102" s="1" t="str">
        <f>IFERROR(__xludf.DUMMYFUNCTION("""COMPUTED_VALUE"""),"Common")</f>
        <v>Common</v>
      </c>
      <c r="F102" s="1" t="str">
        <f>IFERROR(__xludf.DUMMYFUNCTION("""COMPUTED_VALUE"""),"Available from start.")</f>
        <v>Available from start.</v>
      </c>
      <c r="G102" s="1" t="str">
        <f>IFERROR(__xludf.DUMMYFUNCTION("""COMPUTED_VALUE"""),"*+**+*")</f>
        <v>*+**+*</v>
      </c>
      <c r="H102" s="1" t="str">
        <f>IFERROR(__xludf.DUMMYFUNCTION("""COMPUTED_VALUE"""),"On Scored")</f>
        <v>On Scored</v>
      </c>
    </row>
    <row r="103">
      <c r="A103" s="1">
        <f>IFERROR(__xludf.DUMMYFUNCTION("""COMPUTED_VALUE"""),102.0)</f>
        <v>102</v>
      </c>
      <c r="B103" s="1" t="str">
        <f>IFERROR(__xludf.DUMMYFUNCTION("""COMPUTED_VALUE"""),"Seltzer")</f>
        <v>Seltzer</v>
      </c>
      <c r="C103" s="1" t="str">
        <f>IFERROR(__xludf.DUMMYFUNCTION("""COMPUTED_VALUE"""),"Retrigger all cards played for the next *10* hands")</f>
        <v>Retrigger all cards played for the next *10* hands</v>
      </c>
      <c r="D103" s="1" t="str">
        <f>IFERROR(__xludf.DUMMYFUNCTION("""COMPUTED_VALUE"""),"*$6*")</f>
        <v>*$6*</v>
      </c>
      <c r="E103" s="1" t="str">
        <f>IFERROR(__xludf.DUMMYFUNCTION("""COMPUTED_VALUE"""),"Uncommon")</f>
        <v>Uncommon</v>
      </c>
      <c r="F103" s="1" t="str">
        <f>IFERROR(__xludf.DUMMYFUNCTION("""COMPUTED_VALUE"""),"Available from start.")</f>
        <v>Available from start.</v>
      </c>
      <c r="G103" s="1" t="str">
        <f>IFERROR(__xludf.DUMMYFUNCTION("""COMPUTED_VALUE"""),"*...*")</f>
        <v>*...*</v>
      </c>
      <c r="H103" s="1" t="str">
        <f>IFERROR(__xludf.DUMMYFUNCTION("""COMPUTED_VALUE"""),"On Scored")</f>
        <v>On Scored</v>
      </c>
    </row>
    <row r="104">
      <c r="A104" s="1">
        <f>IFERROR(__xludf.DUMMYFUNCTION("""COMPUTED_VALUE"""),103.0)</f>
        <v>103</v>
      </c>
      <c r="B104" s="1" t="str">
        <f>IFERROR(__xludf.DUMMYFUNCTION("""COMPUTED_VALUE"""),"Castle")</f>
        <v>Castle</v>
      </c>
      <c r="C104" s="1" t="str">
        <f>IFERROR(__xludf.DUMMYFUNCTION("""COMPUTED_VALUE"""),"This Joker gains *+3* *Chips* per discarded *[suit]* card, suit changes 
every round 
*(Currently +0 Chips)*")</f>
        <v>This Joker gains *+3* *Chips* per discarded *[suit]* card, suit changes 
every round 
*(Currently +0 Chips)*</v>
      </c>
      <c r="D104" s="1" t="str">
        <f>IFERROR(__xludf.DUMMYFUNCTION("""COMPUTED_VALUE"""),"*$6*")</f>
        <v>*$6*</v>
      </c>
      <c r="E104" s="1" t="str">
        <f>IFERROR(__xludf.DUMMYFUNCTION("""COMPUTED_VALUE"""),"Uncommon")</f>
        <v>Uncommon</v>
      </c>
      <c r="F104" s="1" t="str">
        <f>IFERROR(__xludf.DUMMYFUNCTION("""COMPUTED_VALUE"""),"Available from start.")</f>
        <v>Available from start.</v>
      </c>
      <c r="G104" s="1" t="str">
        <f>IFERROR(__xludf.DUMMYFUNCTION("""COMPUTED_VALUE"""),"*+c*")</f>
        <v>*+c*</v>
      </c>
      <c r="H104" s="1" t="str">
        <f>IFERROR(__xludf.DUMMYFUNCTION("""COMPUTED_VALUE"""),"Mixed")</f>
        <v>Mixed</v>
      </c>
    </row>
    <row r="105">
      <c r="A105" s="1">
        <f>IFERROR(__xludf.DUMMYFUNCTION("""COMPUTED_VALUE"""),104.0)</f>
        <v>104</v>
      </c>
      <c r="B105" s="1" t="str">
        <f>IFERROR(__xludf.DUMMYFUNCTION("""COMPUTED_VALUE"""),"Smiley Face")</f>
        <v>Smiley Face</v>
      </c>
      <c r="C105" s="1" t="str">
        <f>IFERROR(__xludf.DUMMYFUNCTION("""COMPUTED_VALUE"""),"Played *face* cards give *+5 Mult* when scored")</f>
        <v>Played *face* cards give *+5 Mult* when scored</v>
      </c>
      <c r="D105" s="1" t="str">
        <f>IFERROR(__xludf.DUMMYFUNCTION("""COMPUTED_VALUE"""),"*$4*")</f>
        <v>*$4*</v>
      </c>
      <c r="E105" s="1" t="str">
        <f>IFERROR(__xludf.DUMMYFUNCTION("""COMPUTED_VALUE"""),"Common")</f>
        <v>Common</v>
      </c>
      <c r="F105" s="1" t="str">
        <f>IFERROR(__xludf.DUMMYFUNCTION("""COMPUTED_VALUE"""),"Available from start.")</f>
        <v>Available from start.</v>
      </c>
      <c r="G105" s="1" t="str">
        <f>IFERROR(__xludf.DUMMYFUNCTION("""COMPUTED_VALUE"""),"*+m*")</f>
        <v>*+m*</v>
      </c>
      <c r="H105" s="1" t="str">
        <f>IFERROR(__xludf.DUMMYFUNCTION("""COMPUTED_VALUE"""),"On Scored")</f>
        <v>On Scored</v>
      </c>
    </row>
    <row r="106">
      <c r="A106" s="1">
        <f>IFERROR(__xludf.DUMMYFUNCTION("""COMPUTED_VALUE"""),105.0)</f>
        <v>105</v>
      </c>
      <c r="B106" s="1" t="str">
        <f>IFERROR(__xludf.DUMMYFUNCTION("""COMPUTED_VALUE"""),"Campfire")</f>
        <v>Campfire</v>
      </c>
      <c r="C106" s="1" t="str">
        <f>IFERROR(__xludf.DUMMYFUNCTION("""COMPUTED_VALUE"""),"This Joker gains *X0.25 Mult* for each card *sold*, resets when *Boss Blind* 
is defeated 
*(Currently X1 Mult)*")</f>
        <v>This Joker gains *X0.25 Mult* for each card *sold*, resets when *Boss Blind* 
is defeated 
*(Currently X1 Mult)*</v>
      </c>
      <c r="D106" s="1" t="str">
        <f>IFERROR(__xludf.DUMMYFUNCTION("""COMPUTED_VALUE"""),"*$9*")</f>
        <v>*$9*</v>
      </c>
      <c r="E106" s="1" t="str">
        <f>IFERROR(__xludf.DUMMYFUNCTION("""COMPUTED_VALUE"""),"Rare")</f>
        <v>Rare</v>
      </c>
      <c r="F106" s="1" t="str">
        <f>IFERROR(__xludf.DUMMYFUNCTION("""COMPUTED_VALUE"""),"Available from start.")</f>
        <v>Available from start.</v>
      </c>
      <c r="G106" s="1" t="str">
        <f>IFERROR(__xludf.DUMMYFUNCTION("""COMPUTED_VALUE"""),"*Xm*")</f>
        <v>*Xm*</v>
      </c>
      <c r="H106" s="1" t="str">
        <f>IFERROR(__xludf.DUMMYFUNCTION("""COMPUTED_VALUE"""),"Indep.")</f>
        <v>Indep.</v>
      </c>
    </row>
    <row r="107">
      <c r="A107" s="1">
        <f>IFERROR(__xludf.DUMMYFUNCTION("""COMPUTED_VALUE"""),106.0)</f>
        <v>106</v>
      </c>
      <c r="B107" s="1" t="str">
        <f>IFERROR(__xludf.DUMMYFUNCTION("""COMPUTED_VALUE"""),"Golden Ticket")</f>
        <v>Golden Ticket</v>
      </c>
      <c r="C107" s="1" t="str">
        <f>IFERROR(__xludf.DUMMYFUNCTION("""COMPUTED_VALUE"""),"Played *Gold* cards earn *$4* when scored")</f>
        <v>Played *Gold* cards earn *$4* when scored</v>
      </c>
      <c r="D107" s="1" t="str">
        <f>IFERROR(__xludf.DUMMYFUNCTION("""COMPUTED_VALUE"""),"*$5*")</f>
        <v>*$5*</v>
      </c>
      <c r="E107" s="1" t="str">
        <f>IFERROR(__xludf.DUMMYFUNCTION("""COMPUTED_VALUE"""),"Common")</f>
        <v>Common</v>
      </c>
      <c r="F107" s="1" t="str">
        <f>IFERROR(__xludf.DUMMYFUNCTION("""COMPUTED_VALUE"""),"Play a 5 card hand that contains only Gold cards. (Can only appear in the 
shop when there is a Gold Card in the deck.)")</f>
        <v>Play a 5 card hand that contains only Gold cards. (Can only appear in the 
shop when there is a Gold Card in the deck.)</v>
      </c>
      <c r="G107" s="1" t="str">
        <f>IFERROR(__xludf.DUMMYFUNCTION("""COMPUTED_VALUE"""),"*+$*")</f>
        <v>*+$*</v>
      </c>
      <c r="H107" s="1" t="str">
        <f>IFERROR(__xludf.DUMMYFUNCTION("""COMPUTED_VALUE"""),"On Scored")</f>
        <v>On Scored</v>
      </c>
    </row>
    <row r="108">
      <c r="A108" s="1">
        <f>IFERROR(__xludf.DUMMYFUNCTION("""COMPUTED_VALUE"""),107.0)</f>
        <v>107</v>
      </c>
      <c r="B108" s="1" t="str">
        <f>IFERROR(__xludf.DUMMYFUNCTION("""COMPUTED_VALUE"""),"Mr. Bones")</f>
        <v>Mr. Bones</v>
      </c>
      <c r="C108" s="1" t="str">
        <f>IFERROR(__xludf.DUMMYFUNCTION("""COMPUTED_VALUE"""),"Prevents Death if chips scored are at least *25%* of required chips 
*self destructs*")</f>
        <v>Prevents Death if chips scored are at least *25%* of required chips 
*self destructs*</v>
      </c>
      <c r="D108" s="1" t="str">
        <f>IFERROR(__xludf.DUMMYFUNCTION("""COMPUTED_VALUE"""),"*$5*")</f>
        <v>*$5*</v>
      </c>
      <c r="E108" s="1" t="str">
        <f>IFERROR(__xludf.DUMMYFUNCTION("""COMPUTED_VALUE"""),"Uncommon")</f>
        <v>Uncommon</v>
      </c>
      <c r="F108" s="1" t="str">
        <f>IFERROR(__xludf.DUMMYFUNCTION("""COMPUTED_VALUE"""),"Lose five runs.")</f>
        <v>Lose five runs.</v>
      </c>
      <c r="G108" s="1" t="str">
        <f>IFERROR(__xludf.DUMMYFUNCTION("""COMPUTED_VALUE"""),"*!!*")</f>
        <v>*!!*</v>
      </c>
      <c r="H108" s="1" t="str">
        <f>IFERROR(__xludf.DUMMYFUNCTION("""COMPUTED_VALUE"""),"N/A")</f>
        <v>N/A</v>
      </c>
    </row>
    <row r="109">
      <c r="A109" s="1">
        <f>IFERROR(__xludf.DUMMYFUNCTION("""COMPUTED_VALUE"""),108.0)</f>
        <v>108</v>
      </c>
      <c r="B109" s="1" t="str">
        <f>IFERROR(__xludf.DUMMYFUNCTION("""COMPUTED_VALUE"""),"Acrobat")</f>
        <v>Acrobat</v>
      </c>
      <c r="C109" s="1" t="str">
        <f>IFERROR(__xludf.DUMMYFUNCTION("""COMPUTED_VALUE"""),"*X3 Mult* on *final hand* of round")</f>
        <v>*X3 Mult* on *final hand* of round</v>
      </c>
      <c r="D109" s="1" t="str">
        <f>IFERROR(__xludf.DUMMYFUNCTION("""COMPUTED_VALUE"""),"*$6*")</f>
        <v>*$6*</v>
      </c>
      <c r="E109" s="1" t="str">
        <f>IFERROR(__xludf.DUMMYFUNCTION("""COMPUTED_VALUE"""),"Uncommon")</f>
        <v>Uncommon</v>
      </c>
      <c r="F109" s="1" t="str">
        <f>IFERROR(__xludf.DUMMYFUNCTION("""COMPUTED_VALUE"""),"Play 200 hands")</f>
        <v>Play 200 hands</v>
      </c>
      <c r="G109" s="1" t="str">
        <f>IFERROR(__xludf.DUMMYFUNCTION("""COMPUTED_VALUE"""),"*Xm*")</f>
        <v>*Xm*</v>
      </c>
      <c r="H109" s="1" t="str">
        <f>IFERROR(__xludf.DUMMYFUNCTION("""COMPUTED_VALUE"""),"Indep.")</f>
        <v>Indep.</v>
      </c>
    </row>
    <row r="110">
      <c r="A110" s="1">
        <f>IFERROR(__xludf.DUMMYFUNCTION("""COMPUTED_VALUE"""),109.0)</f>
        <v>109</v>
      </c>
      <c r="B110" s="1" t="str">
        <f>IFERROR(__xludf.DUMMYFUNCTION("""COMPUTED_VALUE"""),"Sock and Buskin")</f>
        <v>Sock and Buskin</v>
      </c>
      <c r="C110" s="1" t="str">
        <f>IFERROR(__xludf.DUMMYFUNCTION("""COMPUTED_VALUE"""),"Retrigger all played *face* cards")</f>
        <v>Retrigger all played *face* cards</v>
      </c>
      <c r="D110" s="1" t="str">
        <f>IFERROR(__xludf.DUMMYFUNCTION("""COMPUTED_VALUE"""),"*$6*")</f>
        <v>*$6*</v>
      </c>
      <c r="E110" s="1" t="str">
        <f>IFERROR(__xludf.DUMMYFUNCTION("""COMPUTED_VALUE"""),"Uncommon")</f>
        <v>Uncommon</v>
      </c>
      <c r="F110" s="1" t="str">
        <f>IFERROR(__xludf.DUMMYFUNCTION("""COMPUTED_VALUE"""),"Play 300 face cards across all runs.")</f>
        <v>Play 300 face cards across all runs.</v>
      </c>
      <c r="G110" s="1" t="str">
        <f>IFERROR(__xludf.DUMMYFUNCTION("""COMPUTED_VALUE"""),"*...*")</f>
        <v>*...*</v>
      </c>
      <c r="H110" s="1" t="str">
        <f>IFERROR(__xludf.DUMMYFUNCTION("""COMPUTED_VALUE"""),"On Scored")</f>
        <v>On Scored</v>
      </c>
    </row>
    <row r="111">
      <c r="A111" s="1">
        <f>IFERROR(__xludf.DUMMYFUNCTION("""COMPUTED_VALUE"""),110.0)</f>
        <v>110</v>
      </c>
      <c r="B111" s="1" t="str">
        <f>IFERROR(__xludf.DUMMYFUNCTION("""COMPUTED_VALUE"""),"Swashbuckler")</f>
        <v>Swashbuckler</v>
      </c>
      <c r="C111" s="1" t="str">
        <f>IFERROR(__xludf.DUMMYFUNCTION("""COMPUTED_VALUE"""),"Adds the sell value of all other owned *Jokers* to Mult 
*(Currently +1 Mult)*")</f>
        <v>Adds the sell value of all other owned *Jokers* to Mult 
*(Currently +1 Mult)*</v>
      </c>
      <c r="D111" s="1" t="str">
        <f>IFERROR(__xludf.DUMMYFUNCTION("""COMPUTED_VALUE"""),"*$4*")</f>
        <v>*$4*</v>
      </c>
      <c r="E111" s="1" t="str">
        <f>IFERROR(__xludf.DUMMYFUNCTION("""COMPUTED_VALUE"""),"Common")</f>
        <v>Common</v>
      </c>
      <c r="F111" s="1" t="str">
        <f>IFERROR(__xludf.DUMMYFUNCTION("""COMPUTED_VALUE"""),"Sell 20 Jokers.")</f>
        <v>Sell 20 Jokers.</v>
      </c>
      <c r="G111" s="1" t="str">
        <f>IFERROR(__xludf.DUMMYFUNCTION("""COMPUTED_VALUE"""),"*+m*")</f>
        <v>*+m*</v>
      </c>
      <c r="H111" s="1" t="str">
        <f>IFERROR(__xludf.DUMMYFUNCTION("""COMPUTED_VALUE"""),"Indep.")</f>
        <v>Indep.</v>
      </c>
    </row>
    <row r="112">
      <c r="A112" s="1">
        <f>IFERROR(__xludf.DUMMYFUNCTION("""COMPUTED_VALUE"""),111.0)</f>
        <v>111</v>
      </c>
      <c r="B112" s="1" t="str">
        <f>IFERROR(__xludf.DUMMYFUNCTION("""COMPUTED_VALUE"""),"Troubadour")</f>
        <v>Troubadour</v>
      </c>
      <c r="C112" s="1" t="str">
        <f>IFERROR(__xludf.DUMMYFUNCTION("""COMPUTED_VALUE"""),"*+2* hand size, 
*-1* hand per round")</f>
        <v>*+2* hand size, 
*-1* hand per round</v>
      </c>
      <c r="D112" s="1" t="str">
        <f>IFERROR(__xludf.DUMMYFUNCTION("""COMPUTED_VALUE"""),"*$6*")</f>
        <v>*$6*</v>
      </c>
      <c r="E112" s="1" t="str">
        <f>IFERROR(__xludf.DUMMYFUNCTION("""COMPUTED_VALUE"""),"Uncommon")</f>
        <v>Uncommon</v>
      </c>
      <c r="F112" s="1" t="str">
        <f>IFERROR(__xludf.DUMMYFUNCTION("""COMPUTED_VALUE"""),"Win 5 consecutive rounds by playing only a single hand in each. (Discards 
are fine.)")</f>
        <v>Win 5 consecutive rounds by playing only a single hand in each. (Discards 
are fine.)</v>
      </c>
      <c r="G112" s="1" t="str">
        <f>IFERROR(__xludf.DUMMYFUNCTION("""COMPUTED_VALUE"""),"*!!*")</f>
        <v>*!!*</v>
      </c>
      <c r="H112" s="1" t="str">
        <f>IFERROR(__xludf.DUMMYFUNCTION("""COMPUTED_VALUE"""),"N/A")</f>
        <v>N/A</v>
      </c>
    </row>
    <row r="113">
      <c r="A113" s="1">
        <f>IFERROR(__xludf.DUMMYFUNCTION("""COMPUTED_VALUE"""),112.0)</f>
        <v>112</v>
      </c>
      <c r="B113" s="1" t="str">
        <f>IFERROR(__xludf.DUMMYFUNCTION("""COMPUTED_VALUE"""),"Certificate")</f>
        <v>Certificate</v>
      </c>
      <c r="C113" s="1" t="str">
        <f>IFERROR(__xludf.DUMMYFUNCTION("""COMPUTED_VALUE"""),"When round begins, add a random *playing card* with a random *seal* to your 
hand")</f>
        <v>When round begins, add a random *playing card* with a random *seal* to your 
hand</v>
      </c>
      <c r="D113" s="1" t="str">
        <f>IFERROR(__xludf.DUMMYFUNCTION("""COMPUTED_VALUE"""),"*$6*")</f>
        <v>*$6*</v>
      </c>
      <c r="E113" s="1" t="str">
        <f>IFERROR(__xludf.DUMMYFUNCTION("""COMPUTED_VALUE"""),"Uncommon")</f>
        <v>Uncommon</v>
      </c>
      <c r="F113" s="1" t="str">
        <f>IFERROR(__xludf.DUMMYFUNCTION("""COMPUTED_VALUE"""),"Have a Gold card with a Gold Seal.")</f>
        <v>Have a Gold card with a Gold Seal.</v>
      </c>
      <c r="G113" s="1" t="str">
        <f>IFERROR(__xludf.DUMMYFUNCTION("""COMPUTED_VALUE"""),"*!!*")</f>
        <v>*!!*</v>
      </c>
      <c r="H113" s="1" t="str">
        <f>IFERROR(__xludf.DUMMYFUNCTION("""COMPUTED_VALUE"""),"N/A")</f>
        <v>N/A</v>
      </c>
    </row>
    <row r="114">
      <c r="A114" s="1">
        <f>IFERROR(__xludf.DUMMYFUNCTION("""COMPUTED_VALUE"""),113.0)</f>
        <v>113</v>
      </c>
      <c r="B114" s="1" t="str">
        <f>IFERROR(__xludf.DUMMYFUNCTION("""COMPUTED_VALUE"""),"Smeared Joker")</f>
        <v>Smeared Joker</v>
      </c>
      <c r="C114" s="1" t="str">
        <f>IFERROR(__xludf.DUMMYFUNCTION("""COMPUTED_VALUE"""),"* Hearts* and * Diamonds* count as the same suit, * Spades* and * Clubs* 
count as the same suit")</f>
        <v>* Hearts* and * Diamonds* count as the same suit, * Spades* and * Clubs* 
count as the same suit</v>
      </c>
      <c r="D114" s="1" t="str">
        <f>IFERROR(__xludf.DUMMYFUNCTION("""COMPUTED_VALUE"""),"*$7*")</f>
        <v>*$7*</v>
      </c>
      <c r="E114" s="1" t="str">
        <f>IFERROR(__xludf.DUMMYFUNCTION("""COMPUTED_VALUE"""),"Uncommon")</f>
        <v>Uncommon</v>
      </c>
      <c r="F114" s="1" t="str">
        <f>IFERROR(__xludf.DUMMYFUNCTION("""COMPUTED_VALUE"""),"Have 3 or more Wild Cards in your deck.")</f>
        <v>Have 3 or more Wild Cards in your deck.</v>
      </c>
      <c r="G114" s="1" t="str">
        <f>IFERROR(__xludf.DUMMYFUNCTION("""COMPUTED_VALUE"""),"*!!*")</f>
        <v>*!!*</v>
      </c>
      <c r="H114" s="1" t="str">
        <f>IFERROR(__xludf.DUMMYFUNCTION("""COMPUTED_VALUE"""),"N/A")</f>
        <v>N/A</v>
      </c>
    </row>
    <row r="115">
      <c r="A115" s="1">
        <f>IFERROR(__xludf.DUMMYFUNCTION("""COMPUTED_VALUE"""),114.0)</f>
        <v>114</v>
      </c>
      <c r="B115" s="1" t="str">
        <f>IFERROR(__xludf.DUMMYFUNCTION("""COMPUTED_VALUE"""),"Throwback")</f>
        <v>Throwback</v>
      </c>
      <c r="C115" s="1" t="str">
        <f>IFERROR(__xludf.DUMMYFUNCTION("""COMPUTED_VALUE"""),"*X0.25 Mult* for each *Blind* skipped this run 
*(Currently X1 Mult)*")</f>
        <v>*X0.25 Mult* for each *Blind* skipped this run 
*(Currently X1 Mult)*</v>
      </c>
      <c r="D115" s="1" t="str">
        <f>IFERROR(__xludf.DUMMYFUNCTION("""COMPUTED_VALUE"""),"*$6*")</f>
        <v>*$6*</v>
      </c>
      <c r="E115" s="1" t="str">
        <f>IFERROR(__xludf.DUMMYFUNCTION("""COMPUTED_VALUE"""),"Uncommon")</f>
        <v>Uncommon</v>
      </c>
      <c r="F115" s="1" t="str">
        <f>IFERROR(__xludf.DUMMYFUNCTION("""COMPUTED_VALUE"""),"Continue a run from the Main Menu.")</f>
        <v>Continue a run from the Main Menu.</v>
      </c>
      <c r="G115" s="1" t="str">
        <f>IFERROR(__xludf.DUMMYFUNCTION("""COMPUTED_VALUE"""),"*Xm*")</f>
        <v>*Xm*</v>
      </c>
      <c r="H115" s="1" t="str">
        <f>IFERROR(__xludf.DUMMYFUNCTION("""COMPUTED_VALUE"""),"Indep.")</f>
        <v>Indep.</v>
      </c>
    </row>
    <row r="116">
      <c r="A116" s="1">
        <f>IFERROR(__xludf.DUMMYFUNCTION("""COMPUTED_VALUE"""),115.0)</f>
        <v>115</v>
      </c>
      <c r="B116" s="1" t="str">
        <f>IFERROR(__xludf.DUMMYFUNCTION("""COMPUTED_VALUE"""),"Hanging Chad")</f>
        <v>Hanging Chad</v>
      </c>
      <c r="C116" s="1" t="str">
        <f>IFERROR(__xludf.DUMMYFUNCTION("""COMPUTED_VALUE"""),"Retrigger *first* played card used in scoring *2* additional times")</f>
        <v>Retrigger *first* played card used in scoring *2* additional times</v>
      </c>
      <c r="D116" s="1" t="str">
        <f>IFERROR(__xludf.DUMMYFUNCTION("""COMPUTED_VALUE"""),"*$4*")</f>
        <v>*$4*</v>
      </c>
      <c r="E116" s="1" t="str">
        <f>IFERROR(__xludf.DUMMYFUNCTION("""COMPUTED_VALUE"""),"Common")</f>
        <v>Common</v>
      </c>
      <c r="F116" s="1" t="str">
        <f>IFERROR(__xludf.DUMMYFUNCTION("""COMPUTED_VALUE"""),"Beat a Boss Blind with a *High Card* hand.")</f>
        <v>Beat a Boss Blind with a *High Card* hand.</v>
      </c>
      <c r="G116" s="1" t="str">
        <f>IFERROR(__xludf.DUMMYFUNCTION("""COMPUTED_VALUE"""),"*...*")</f>
        <v>*...*</v>
      </c>
      <c r="H116" s="1" t="str">
        <f>IFERROR(__xludf.DUMMYFUNCTION("""COMPUTED_VALUE"""),"On Scored")</f>
        <v>On Scored</v>
      </c>
    </row>
    <row r="117">
      <c r="A117" s="1">
        <f>IFERROR(__xludf.DUMMYFUNCTION("""COMPUTED_VALUE"""),116.0)</f>
        <v>116</v>
      </c>
      <c r="B117" s="1" t="str">
        <f>IFERROR(__xludf.DUMMYFUNCTION("""COMPUTED_VALUE"""),"Rough Gem")</f>
        <v>Rough Gem</v>
      </c>
      <c r="C117" s="1" t="str">
        <f>IFERROR(__xludf.DUMMYFUNCTION("""COMPUTED_VALUE"""),"Played cards with * Diamond* suit earn *$1* when scored")</f>
        <v>Played cards with * Diamond* suit earn *$1* when scored</v>
      </c>
      <c r="D117" s="1" t="str">
        <f>IFERROR(__xludf.DUMMYFUNCTION("""COMPUTED_VALUE"""),"*$7*")</f>
        <v>*$7*</v>
      </c>
      <c r="E117" s="1" t="str">
        <f>IFERROR(__xludf.DUMMYFUNCTION("""COMPUTED_VALUE"""),"Uncommon")</f>
        <v>Uncommon</v>
      </c>
      <c r="F117" s="1" t="str">
        <f>IFERROR(__xludf.DUMMYFUNCTION("""COMPUTED_VALUE"""),"Have at least 30 Diamonds in your deck")</f>
        <v>Have at least 30 Diamonds in your deck</v>
      </c>
      <c r="G117" s="1" t="str">
        <f>IFERROR(__xludf.DUMMYFUNCTION("""COMPUTED_VALUE"""),"*+$*")</f>
        <v>*+$*</v>
      </c>
      <c r="H117" s="1" t="str">
        <f>IFERROR(__xludf.DUMMYFUNCTION("""COMPUTED_VALUE"""),"On Scored")</f>
        <v>On Scored</v>
      </c>
    </row>
    <row r="118">
      <c r="A118" s="1">
        <f>IFERROR(__xludf.DUMMYFUNCTION("""COMPUTED_VALUE"""),117.0)</f>
        <v>117</v>
      </c>
      <c r="B118" s="1" t="str">
        <f>IFERROR(__xludf.DUMMYFUNCTION("""COMPUTED_VALUE"""),"Bloodstone")</f>
        <v>Bloodstone</v>
      </c>
      <c r="C118" s="1" t="str">
        <f>IFERROR(__xludf.DUMMYFUNCTION("""COMPUTED_VALUE"""),"*1 in 2* chance for played cards with * Heart* suit to give *X1.5 Mult* 
when scored")</f>
        <v>*1 in 2* chance for played cards with * Heart* suit to give *X1.5 Mult* 
when scored</v>
      </c>
      <c r="D118" s="1" t="str">
        <f>IFERROR(__xludf.DUMMYFUNCTION("""COMPUTED_VALUE"""),"*$7*")</f>
        <v>*$7*</v>
      </c>
      <c r="E118" s="1" t="str">
        <f>IFERROR(__xludf.DUMMYFUNCTION("""COMPUTED_VALUE"""),"Uncommon")</f>
        <v>Uncommon</v>
      </c>
      <c r="F118" s="1" t="str">
        <f>IFERROR(__xludf.DUMMYFUNCTION("""COMPUTED_VALUE"""),"Have at least 30 Hearts in your deck.")</f>
        <v>Have at least 30 Hearts in your deck.</v>
      </c>
      <c r="G118" s="1" t="str">
        <f>IFERROR(__xludf.DUMMYFUNCTION("""COMPUTED_VALUE"""),"*Xm*")</f>
        <v>*Xm*</v>
      </c>
      <c r="H118" s="1" t="str">
        <f>IFERROR(__xludf.DUMMYFUNCTION("""COMPUTED_VALUE"""),"On Scored")</f>
        <v>On Scored</v>
      </c>
    </row>
    <row r="119">
      <c r="A119" s="1">
        <f>IFERROR(__xludf.DUMMYFUNCTION("""COMPUTED_VALUE"""),118.0)</f>
        <v>118</v>
      </c>
      <c r="B119" s="1" t="str">
        <f>IFERROR(__xludf.DUMMYFUNCTION("""COMPUTED_VALUE"""),"Arrowhead")</f>
        <v>Arrowhead</v>
      </c>
      <c r="C119" s="1" t="str">
        <f>IFERROR(__xludf.DUMMYFUNCTION("""COMPUTED_VALUE"""),"Played cards with * Spade* suit give *+50* *Chips* when scored")</f>
        <v>Played cards with * Spade* suit give *+50* *Chips* when scored</v>
      </c>
      <c r="D119" s="1" t="str">
        <f>IFERROR(__xludf.DUMMYFUNCTION("""COMPUTED_VALUE"""),"*$7*")</f>
        <v>*$7*</v>
      </c>
      <c r="E119" s="1" t="str">
        <f>IFERROR(__xludf.DUMMYFUNCTION("""COMPUTED_VALUE"""),"Uncommon")</f>
        <v>Uncommon</v>
      </c>
      <c r="F119" s="1" t="str">
        <f>IFERROR(__xludf.DUMMYFUNCTION("""COMPUTED_VALUE"""),"Have at least 30 Spades in your deck.")</f>
        <v>Have at least 30 Spades in your deck.</v>
      </c>
      <c r="G119" s="1" t="str">
        <f>IFERROR(__xludf.DUMMYFUNCTION("""COMPUTED_VALUE"""),"*+c*")</f>
        <v>*+c*</v>
      </c>
      <c r="H119" s="1" t="str">
        <f>IFERROR(__xludf.DUMMYFUNCTION("""COMPUTED_VALUE"""),"On Scored")</f>
        <v>On Scored</v>
      </c>
    </row>
    <row r="120">
      <c r="A120" s="1">
        <f>IFERROR(__xludf.DUMMYFUNCTION("""COMPUTED_VALUE"""),119.0)</f>
        <v>119</v>
      </c>
      <c r="B120" s="1" t="str">
        <f>IFERROR(__xludf.DUMMYFUNCTION("""COMPUTED_VALUE"""),"Onyx Agate")</f>
        <v>Onyx Agate</v>
      </c>
      <c r="C120" s="1" t="str">
        <f>IFERROR(__xludf.DUMMYFUNCTION("""COMPUTED_VALUE"""),"Played cards with * Club* suit give *+7 Mult* when scored")</f>
        <v>Played cards with * Club* suit give *+7 Mult* when scored</v>
      </c>
      <c r="D120" s="1" t="str">
        <f>IFERROR(__xludf.DUMMYFUNCTION("""COMPUTED_VALUE"""),"*$7*")</f>
        <v>*$7*</v>
      </c>
      <c r="E120" s="1" t="str">
        <f>IFERROR(__xludf.DUMMYFUNCTION("""COMPUTED_VALUE"""),"Uncommon")</f>
        <v>Uncommon</v>
      </c>
      <c r="F120" s="1" t="str">
        <f>IFERROR(__xludf.DUMMYFUNCTION("""COMPUTED_VALUE"""),"Have at least 30 Clubs in your deck")</f>
        <v>Have at least 30 Clubs in your deck</v>
      </c>
      <c r="G120" s="1" t="str">
        <f>IFERROR(__xludf.DUMMYFUNCTION("""COMPUTED_VALUE"""),"*+m*")</f>
        <v>*+m*</v>
      </c>
      <c r="H120" s="1" t="str">
        <f>IFERROR(__xludf.DUMMYFUNCTION("""COMPUTED_VALUE"""),"On Scored")</f>
        <v>On Scored</v>
      </c>
    </row>
    <row r="121">
      <c r="A121" s="1">
        <f>IFERROR(__xludf.DUMMYFUNCTION("""COMPUTED_VALUE"""),120.0)</f>
        <v>120</v>
      </c>
      <c r="B121" s="1" t="str">
        <f>IFERROR(__xludf.DUMMYFUNCTION("""COMPUTED_VALUE"""),"Glass Joker")</f>
        <v>Glass Joker</v>
      </c>
      <c r="C121" s="1" t="str">
        <f>IFERROR(__xludf.DUMMYFUNCTION("""COMPUTED_VALUE"""),"This Joker gains *X0.75 Mult* for every *Glass Card* that is destroyed 
*(Currently X1 Mult)*")</f>
        <v>This Joker gains *X0.75 Mult* for every *Glass Card* that is destroyed 
*(Currently X1 Mult)*</v>
      </c>
      <c r="D121" s="1" t="str">
        <f>IFERROR(__xludf.DUMMYFUNCTION("""COMPUTED_VALUE"""),"*$6*")</f>
        <v>*$6*</v>
      </c>
      <c r="E121" s="1" t="str">
        <f>IFERROR(__xludf.DUMMYFUNCTION("""COMPUTED_VALUE"""),"Uncommon")</f>
        <v>Uncommon</v>
      </c>
      <c r="F121" s="1" t="str">
        <f>IFERROR(__xludf.DUMMYFUNCTION("""COMPUTED_VALUE"""),"Have 5 or more Glass cards in your deck. (Can only appear in the shop when 
there is a Glass Card in the deck.)")</f>
        <v>Have 5 or more Glass cards in your deck. (Can only appear in the shop when 
there is a Glass Card in the deck.)</v>
      </c>
      <c r="G121" s="1" t="str">
        <f>IFERROR(__xludf.DUMMYFUNCTION("""COMPUTED_VALUE"""),"*Xm*")</f>
        <v>*Xm*</v>
      </c>
      <c r="H121" s="1" t="str">
        <f>IFERROR(__xludf.DUMMYFUNCTION("""COMPUTED_VALUE"""),"Indep.")</f>
        <v>Indep.</v>
      </c>
    </row>
    <row r="122">
      <c r="A122" s="1">
        <f>IFERROR(__xludf.DUMMYFUNCTION("""COMPUTED_VALUE"""),121.0)</f>
        <v>121</v>
      </c>
      <c r="B122" s="1" t="str">
        <f>IFERROR(__xludf.DUMMYFUNCTION("""COMPUTED_VALUE"""),"Showman")</f>
        <v>Showman</v>
      </c>
      <c r="C122" s="1" t="str">
        <f>IFERROR(__xludf.DUMMYFUNCTION("""COMPUTED_VALUE"""),"*Joker*, *Tarot*, *Planet*, and *Spectral* cards may appear multiple times")</f>
        <v>*Joker*, *Tarot*, *Planet*, and *Spectral* cards may appear multiple times</v>
      </c>
      <c r="D122" s="1" t="str">
        <f>IFERROR(__xludf.DUMMYFUNCTION("""COMPUTED_VALUE"""),"*$5*")</f>
        <v>*$5*</v>
      </c>
      <c r="E122" s="1" t="str">
        <f>IFERROR(__xludf.DUMMYFUNCTION("""COMPUTED_VALUE"""),"Uncommon")</f>
        <v>Uncommon</v>
      </c>
      <c r="F122" s="1" t="str">
        <f>IFERROR(__xludf.DUMMYFUNCTION("""COMPUTED_VALUE"""),"Reach Ante level 4")</f>
        <v>Reach Ante level 4</v>
      </c>
      <c r="G122" s="1" t="str">
        <f>IFERROR(__xludf.DUMMYFUNCTION("""COMPUTED_VALUE"""),"*!!*")</f>
        <v>*!!*</v>
      </c>
      <c r="H122" s="1" t="str">
        <f>IFERROR(__xludf.DUMMYFUNCTION("""COMPUTED_VALUE"""),"N/A")</f>
        <v>N/A</v>
      </c>
    </row>
    <row r="123">
      <c r="A123" s="1">
        <f>IFERROR(__xludf.DUMMYFUNCTION("""COMPUTED_VALUE"""),122.0)</f>
        <v>122</v>
      </c>
      <c r="B123" s="1" t="str">
        <f>IFERROR(__xludf.DUMMYFUNCTION("""COMPUTED_VALUE"""),"Flower Pot")</f>
        <v>Flower Pot</v>
      </c>
      <c r="C123" s="1" t="str">
        <f>IFERROR(__xludf.DUMMYFUNCTION("""COMPUTED_VALUE"""),"*X3 Mult* if poker hand contains a * Diamond* card, * Club* card, * Heart* 
card, and * Spade* card")</f>
        <v>*X3 Mult* if poker hand contains a * Diamond* card, * Club* card, * Heart* 
card, and * Spade* card</v>
      </c>
      <c r="D123" s="1" t="str">
        <f>IFERROR(__xludf.DUMMYFUNCTION("""COMPUTED_VALUE"""),"*$6*")</f>
        <v>*$6*</v>
      </c>
      <c r="E123" s="1" t="str">
        <f>IFERROR(__xludf.DUMMYFUNCTION("""COMPUTED_VALUE"""),"Uncommon")</f>
        <v>Uncommon</v>
      </c>
      <c r="F123" s="1" t="str">
        <f>IFERROR(__xludf.DUMMYFUNCTION("""COMPUTED_VALUE"""),"Reach Ante Level 8")</f>
        <v>Reach Ante Level 8</v>
      </c>
      <c r="G123" s="1" t="str">
        <f>IFERROR(__xludf.DUMMYFUNCTION("""COMPUTED_VALUE"""),"*Xm*")</f>
        <v>*Xm*</v>
      </c>
      <c r="H123" s="1" t="str">
        <f>IFERROR(__xludf.DUMMYFUNCTION("""COMPUTED_VALUE"""),"Indep.")</f>
        <v>Indep.</v>
      </c>
    </row>
    <row r="124">
      <c r="A124" s="1">
        <f>IFERROR(__xludf.DUMMYFUNCTION("""COMPUTED_VALUE"""),123.0)</f>
        <v>123</v>
      </c>
      <c r="B124" s="1" t="str">
        <f>IFERROR(__xludf.DUMMYFUNCTION("""COMPUTED_VALUE"""),"Blueprint")</f>
        <v>Blueprint</v>
      </c>
      <c r="C124" s="1" t="str">
        <f>IFERROR(__xludf.DUMMYFUNCTION("""COMPUTED_VALUE"""),"Copies ability of *Joker* to the right")</f>
        <v>Copies ability of *Joker* to the right</v>
      </c>
      <c r="D124" s="1" t="str">
        <f>IFERROR(__xludf.DUMMYFUNCTION("""COMPUTED_VALUE"""),"*$10*")</f>
        <v>*$10*</v>
      </c>
      <c r="E124" s="1" t="str">
        <f>IFERROR(__xludf.DUMMYFUNCTION("""COMPUTED_VALUE"""),"Rare")</f>
        <v>Rare</v>
      </c>
      <c r="F124" s="1" t="str">
        <f>IFERROR(__xludf.DUMMYFUNCTION("""COMPUTED_VALUE"""),"Win 1 run.")</f>
        <v>Win 1 run.</v>
      </c>
      <c r="G124" s="1" t="str">
        <f>IFERROR(__xludf.DUMMYFUNCTION("""COMPUTED_VALUE"""),"*!!*")</f>
        <v>*!!*</v>
      </c>
      <c r="H124" s="1"/>
    </row>
    <row r="125">
      <c r="A125" s="1">
        <f>IFERROR(__xludf.DUMMYFUNCTION("""COMPUTED_VALUE"""),124.0)</f>
        <v>124</v>
      </c>
      <c r="B125" s="1" t="str">
        <f>IFERROR(__xludf.DUMMYFUNCTION("""COMPUTED_VALUE"""),"Wee Joker")</f>
        <v>Wee Joker</v>
      </c>
      <c r="C125" s="1" t="str">
        <f>IFERROR(__xludf.DUMMYFUNCTION("""COMPUTED_VALUE"""),"This Joker gains *+8* *Chips* when each played *2* is scored 
*(Currently +0  Chips)*")</f>
        <v>This Joker gains *+8* *Chips* when each played *2* is scored 
*(Currently +0  Chips)*</v>
      </c>
      <c r="D125" s="1" t="str">
        <f>IFERROR(__xludf.DUMMYFUNCTION("""COMPUTED_VALUE"""),"*$8*")</f>
        <v>*$8*</v>
      </c>
      <c r="E125" s="1" t="str">
        <f>IFERROR(__xludf.DUMMYFUNCTION("""COMPUTED_VALUE"""),"Rare")</f>
        <v>Rare</v>
      </c>
      <c r="F125" s="1" t="str">
        <f>IFERROR(__xludf.DUMMYFUNCTION("""COMPUTED_VALUE"""),"Win a run in 18 or fewer rounds.")</f>
        <v>Win a run in 18 or fewer rounds.</v>
      </c>
      <c r="G125" s="1" t="str">
        <f>IFERROR(__xludf.DUMMYFUNCTION("""COMPUTED_VALUE"""),"*+c*")</f>
        <v>*+c*</v>
      </c>
      <c r="H125" s="1" t="str">
        <f>IFERROR(__xludf.DUMMYFUNCTION("""COMPUTED_VALUE"""),"Mixed")</f>
        <v>Mixed</v>
      </c>
    </row>
    <row r="126">
      <c r="A126" s="1">
        <f>IFERROR(__xludf.DUMMYFUNCTION("""COMPUTED_VALUE"""),125.0)</f>
        <v>125</v>
      </c>
      <c r="B126" s="1" t="str">
        <f>IFERROR(__xludf.DUMMYFUNCTION("""COMPUTED_VALUE"""),"Merry Andy")</f>
        <v>Merry Andy</v>
      </c>
      <c r="C126" s="1" t="str">
        <f>IFERROR(__xludf.DUMMYFUNCTION("""COMPUTED_VALUE"""),"*+3* discards each round, 
*-1* hand size")</f>
        <v>*+3* discards each round, 
*-1* hand size</v>
      </c>
      <c r="D126" s="1" t="str">
        <f>IFERROR(__xludf.DUMMYFUNCTION("""COMPUTED_VALUE"""),"*$7*")</f>
        <v>*$7*</v>
      </c>
      <c r="E126" s="1" t="str">
        <f>IFERROR(__xludf.DUMMYFUNCTION("""COMPUTED_VALUE"""),"Uncommon")</f>
        <v>Uncommon</v>
      </c>
      <c r="F126" s="1" t="str">
        <f>IFERROR(__xludf.DUMMYFUNCTION("""COMPUTED_VALUE"""),"Win a run in 12 or fewer rounds")</f>
        <v>Win a run in 12 or fewer rounds</v>
      </c>
      <c r="G126" s="1" t="str">
        <f>IFERROR(__xludf.DUMMYFUNCTION("""COMPUTED_VALUE"""),"*!!*")</f>
        <v>*!!*</v>
      </c>
      <c r="H126" s="1" t="str">
        <f>IFERROR(__xludf.DUMMYFUNCTION("""COMPUTED_VALUE"""),"N/A")</f>
        <v>N/A</v>
      </c>
    </row>
    <row r="127">
      <c r="A127" s="1">
        <f>IFERROR(__xludf.DUMMYFUNCTION("""COMPUTED_VALUE"""),126.0)</f>
        <v>126</v>
      </c>
      <c r="B127" s="1" t="str">
        <f>IFERROR(__xludf.DUMMYFUNCTION("""COMPUTED_VALUE"""),"Oops! All 6s")</f>
        <v>Oops! All 6s</v>
      </c>
      <c r="C127" s="1" t="str">
        <f>IFERROR(__xludf.DUMMYFUNCTION("""COMPUTED_VALUE"""),"Doubles all *listed**probabilities*
*(ex: 1 in 3 -&gt; 2 in 3)*")</f>
        <v>Doubles all *listed**probabilities*
*(ex: 1 in 3 -&gt; 2 in 3)*</v>
      </c>
      <c r="D127" s="1" t="str">
        <f>IFERROR(__xludf.DUMMYFUNCTION("""COMPUTED_VALUE"""),"*$4*")</f>
        <v>*$4*</v>
      </c>
      <c r="E127" s="1" t="str">
        <f>IFERROR(__xludf.DUMMYFUNCTION("""COMPUTED_VALUE"""),"Uncommon")</f>
        <v>Uncommon</v>
      </c>
      <c r="F127" s="1" t="str">
        <f>IFERROR(__xludf.DUMMYFUNCTION("""COMPUTED_VALUE"""),"Earn at least 10,000 Chips in a single hand.")</f>
        <v>Earn at least 10,000 Chips in a single hand.</v>
      </c>
      <c r="G127" s="1" t="str">
        <f>IFERROR(__xludf.DUMMYFUNCTION("""COMPUTED_VALUE"""),"*!!*")</f>
        <v>*!!*</v>
      </c>
      <c r="H127" s="1" t="str">
        <f>IFERROR(__xludf.DUMMYFUNCTION("""COMPUTED_VALUE"""),"N/A")</f>
        <v>N/A</v>
      </c>
    </row>
    <row r="128">
      <c r="A128" s="1">
        <f>IFERROR(__xludf.DUMMYFUNCTION("""COMPUTED_VALUE"""),127.0)</f>
        <v>127</v>
      </c>
      <c r="B128" s="1" t="str">
        <f>IFERROR(__xludf.DUMMYFUNCTION("""COMPUTED_VALUE"""),"The Idol")</f>
        <v>The Idol</v>
      </c>
      <c r="C128" s="1" t="str">
        <f>IFERROR(__xludf.DUMMYFUNCTION("""COMPUTED_VALUE"""),"Each played *[rank]* of *[suit]* gives *X2 Mult* when scored
Card changes every round")</f>
        <v>Each played *[rank]* of *[suit]* gives *X2 Mult* when scored
Card changes every round</v>
      </c>
      <c r="D128" s="1" t="str">
        <f>IFERROR(__xludf.DUMMYFUNCTION("""COMPUTED_VALUE"""),"*$6*")</f>
        <v>*$6*</v>
      </c>
      <c r="E128" s="1" t="str">
        <f>IFERROR(__xludf.DUMMYFUNCTION("""COMPUTED_VALUE"""),"Uncommon")</f>
        <v>Uncommon</v>
      </c>
      <c r="F128" s="1" t="str">
        <f>IFERROR(__xludf.DUMMYFUNCTION("""COMPUTED_VALUE"""),"In one hand, earn at least 1,000,000 Chips.")</f>
        <v>In one hand, earn at least 1,000,000 Chips.</v>
      </c>
      <c r="G128" s="1" t="str">
        <f>IFERROR(__xludf.DUMMYFUNCTION("""COMPUTED_VALUE"""),"*Xm*")</f>
        <v>*Xm*</v>
      </c>
      <c r="H128" s="1" t="str">
        <f>IFERROR(__xludf.DUMMYFUNCTION("""COMPUTED_VALUE"""),"On Scored")</f>
        <v>On Scored</v>
      </c>
    </row>
    <row r="129">
      <c r="A129" s="1">
        <f>IFERROR(__xludf.DUMMYFUNCTION("""COMPUTED_VALUE"""),128.0)</f>
        <v>128</v>
      </c>
      <c r="B129" s="1" t="str">
        <f>IFERROR(__xludf.DUMMYFUNCTION("""COMPUTED_VALUE"""),"Seeing Double")</f>
        <v>Seeing Double</v>
      </c>
      <c r="C129" s="1" t="str">
        <f>IFERROR(__xludf.DUMMYFUNCTION("""COMPUTED_VALUE"""),"*X2 Mult* if played hand has a scoring * Club* card and a scoring card of 
any other suit")</f>
        <v>*X2 Mult* if played hand has a scoring * Club* card and a scoring card of 
any other suit</v>
      </c>
      <c r="D129" s="1" t="str">
        <f>IFERROR(__xludf.DUMMYFUNCTION("""COMPUTED_VALUE"""),"*$6*")</f>
        <v>*$6*</v>
      </c>
      <c r="E129" s="1" t="str">
        <f>IFERROR(__xludf.DUMMYFUNCTION("""COMPUTED_VALUE"""),"Uncommon")</f>
        <v>Uncommon</v>
      </c>
      <c r="F129" s="1" t="str">
        <f>IFERROR(__xludf.DUMMYFUNCTION("""COMPUTED_VALUE"""),"Play a hand that contains four 7 of Clubs. 
Other suits that count as clubs (e.g. wild suits) with rank 7 will also 
count.")</f>
        <v>Play a hand that contains four 7 of Clubs. 
Other suits that count as clubs (e.g. wild suits) with rank 7 will also 
count.</v>
      </c>
      <c r="G129" s="1" t="str">
        <f>IFERROR(__xludf.DUMMYFUNCTION("""COMPUTED_VALUE"""),"*Xm*")</f>
        <v>*Xm*</v>
      </c>
      <c r="H129" s="1" t="str">
        <f>IFERROR(__xludf.DUMMYFUNCTION("""COMPUTED_VALUE"""),"Indep.")</f>
        <v>Indep.</v>
      </c>
    </row>
    <row r="130">
      <c r="A130" s="1">
        <f>IFERROR(__xludf.DUMMYFUNCTION("""COMPUTED_VALUE"""),129.0)</f>
        <v>129</v>
      </c>
      <c r="B130" s="1" t="str">
        <f>IFERROR(__xludf.DUMMYFUNCTION("""COMPUTED_VALUE"""),"Matador")</f>
        <v>Matador</v>
      </c>
      <c r="C130" s="1" t="str">
        <f>IFERROR(__xludf.DUMMYFUNCTION("""COMPUTED_VALUE"""),"Earn *$8* if played hand triggers the *Boss Blind* ability")</f>
        <v>Earn *$8* if played hand triggers the *Boss Blind* ability</v>
      </c>
      <c r="D130" s="1" t="str">
        <f>IFERROR(__xludf.DUMMYFUNCTION("""COMPUTED_VALUE"""),"*$7*")</f>
        <v>*$7*</v>
      </c>
      <c r="E130" s="1" t="str">
        <f>IFERROR(__xludf.DUMMYFUNCTION("""COMPUTED_VALUE"""),"Uncommon")</f>
        <v>Uncommon</v>
      </c>
      <c r="F130" s="1" t="str">
        <f>IFERROR(__xludf.DUMMYFUNCTION("""COMPUTED_VALUE"""),"Defeat a Boss Blind in one hand, without using discards.")</f>
        <v>Defeat a Boss Blind in one hand, without using discards.</v>
      </c>
      <c r="G130" s="1" t="str">
        <f>IFERROR(__xludf.DUMMYFUNCTION("""COMPUTED_VALUE"""),"*+$*")</f>
        <v>*+$*</v>
      </c>
      <c r="H130" s="1" t="str">
        <f>IFERROR(__xludf.DUMMYFUNCTION("""COMPUTED_VALUE"""),"Indep.")</f>
        <v>Indep.</v>
      </c>
    </row>
    <row r="131">
      <c r="A131" s="1">
        <f>IFERROR(__xludf.DUMMYFUNCTION("""COMPUTED_VALUE"""),130.0)</f>
        <v>130</v>
      </c>
      <c r="B131" s="1" t="str">
        <f>IFERROR(__xludf.DUMMYFUNCTION("""COMPUTED_VALUE"""),"Hit the Road")</f>
        <v>Hit the Road</v>
      </c>
      <c r="C131" s="1" t="str">
        <f>IFERROR(__xludf.DUMMYFUNCTION("""COMPUTED_VALUE"""),"This Joker gains *X0.5 Mult* for every *Jack* discarded this round 
*(Currently X1 Mult)*")</f>
        <v>This Joker gains *X0.5 Mult* for every *Jack* discarded this round 
*(Currently X1 Mult)*</v>
      </c>
      <c r="D131" s="1" t="str">
        <f>IFERROR(__xludf.DUMMYFUNCTION("""COMPUTED_VALUE"""),"*$8*")</f>
        <v>*$8*</v>
      </c>
      <c r="E131" s="1" t="str">
        <f>IFERROR(__xludf.DUMMYFUNCTION("""COMPUTED_VALUE"""),"Rare")</f>
        <v>Rare</v>
      </c>
      <c r="F131" s="1" t="str">
        <f>IFERROR(__xludf.DUMMYFUNCTION("""COMPUTED_VALUE"""),"Discard *5 Jacks* at the same time.")</f>
        <v>Discard *5 Jacks* at the same time.</v>
      </c>
      <c r="G131" s="1" t="str">
        <f>IFERROR(__xludf.DUMMYFUNCTION("""COMPUTED_VALUE"""),"*Xm*")</f>
        <v>*Xm*</v>
      </c>
      <c r="H131" s="1" t="str">
        <f>IFERROR(__xludf.DUMMYFUNCTION("""COMPUTED_VALUE"""),"Mixed")</f>
        <v>Mixed</v>
      </c>
    </row>
    <row r="132">
      <c r="A132" s="1">
        <f>IFERROR(__xludf.DUMMYFUNCTION("""COMPUTED_VALUE"""),131.0)</f>
        <v>131</v>
      </c>
      <c r="B132" s="1" t="str">
        <f>IFERROR(__xludf.DUMMYFUNCTION("""COMPUTED_VALUE"""),"The Duo")</f>
        <v>The Duo</v>
      </c>
      <c r="C132" s="1" t="str">
        <f>IFERROR(__xludf.DUMMYFUNCTION("""COMPUTED_VALUE"""),"*X2 Mult* if played hand contains a *Pair*")</f>
        <v>*X2 Mult* if played hand contains a *Pair*</v>
      </c>
      <c r="D132" s="1" t="str">
        <f>IFERROR(__xludf.DUMMYFUNCTION("""COMPUTED_VALUE"""),"*$8*")</f>
        <v>*$8*</v>
      </c>
      <c r="E132" s="1" t="str">
        <f>IFERROR(__xludf.DUMMYFUNCTION("""COMPUTED_VALUE"""),"Rare")</f>
        <v>Rare</v>
      </c>
      <c r="F132" s="1" t="str">
        <f>IFERROR(__xludf.DUMMYFUNCTION("""COMPUTED_VALUE"""),"Win a run without playing a *Pair*.")</f>
        <v>Win a run without playing a *Pair*.</v>
      </c>
      <c r="G132" s="1" t="str">
        <f>IFERROR(__xludf.DUMMYFUNCTION("""COMPUTED_VALUE"""),"*Xm*")</f>
        <v>*Xm*</v>
      </c>
      <c r="H132" s="1" t="str">
        <f>IFERROR(__xludf.DUMMYFUNCTION("""COMPUTED_VALUE"""),"Indep.")</f>
        <v>Indep.</v>
      </c>
    </row>
    <row r="133">
      <c r="A133" s="1">
        <f>IFERROR(__xludf.DUMMYFUNCTION("""COMPUTED_VALUE"""),132.0)</f>
        <v>132</v>
      </c>
      <c r="B133" s="1" t="str">
        <f>IFERROR(__xludf.DUMMYFUNCTION("""COMPUTED_VALUE"""),"The Trio")</f>
        <v>The Trio</v>
      </c>
      <c r="C133" s="1" t="str">
        <f>IFERROR(__xludf.DUMMYFUNCTION("""COMPUTED_VALUE"""),"*X3 Mult* if played hand contains a *Three of a Kind*")</f>
        <v>*X3 Mult* if played hand contains a *Three of a Kind*</v>
      </c>
      <c r="D133" s="1" t="str">
        <f>IFERROR(__xludf.DUMMYFUNCTION("""COMPUTED_VALUE"""),"*$8*")</f>
        <v>*$8*</v>
      </c>
      <c r="E133" s="1" t="str">
        <f>IFERROR(__xludf.DUMMYFUNCTION("""COMPUTED_VALUE"""),"Rare")</f>
        <v>Rare</v>
      </c>
      <c r="F133" s="1" t="str">
        <f>IFERROR(__xludf.DUMMYFUNCTION("""COMPUTED_VALUE"""),"Win a run without playing a *Three of a Kind*.")</f>
        <v>Win a run without playing a *Three of a Kind*.</v>
      </c>
      <c r="G133" s="1" t="str">
        <f>IFERROR(__xludf.DUMMYFUNCTION("""COMPUTED_VALUE"""),"*Xm*")</f>
        <v>*Xm*</v>
      </c>
      <c r="H133" s="1" t="str">
        <f>IFERROR(__xludf.DUMMYFUNCTION("""COMPUTED_VALUE"""),"Indep.")</f>
        <v>Indep.</v>
      </c>
    </row>
    <row r="134">
      <c r="A134" s="1">
        <f>IFERROR(__xludf.DUMMYFUNCTION("""COMPUTED_VALUE"""),133.0)</f>
        <v>133</v>
      </c>
      <c r="B134" s="1" t="str">
        <f>IFERROR(__xludf.DUMMYFUNCTION("""COMPUTED_VALUE"""),"The Family")</f>
        <v>The Family</v>
      </c>
      <c r="C134" s="1" t="str">
        <f>IFERROR(__xludf.DUMMYFUNCTION("""COMPUTED_VALUE"""),"*X4 Mult* if played hand contains a *Four of a Kind*")</f>
        <v>*X4 Mult* if played hand contains a *Four of a Kind*</v>
      </c>
      <c r="D134" s="1" t="str">
        <f>IFERROR(__xludf.DUMMYFUNCTION("""COMPUTED_VALUE"""),"*$8*")</f>
        <v>*$8*</v>
      </c>
      <c r="E134" s="1" t="str">
        <f>IFERROR(__xludf.DUMMYFUNCTION("""COMPUTED_VALUE"""),"Rare")</f>
        <v>Rare</v>
      </c>
      <c r="F134" s="1" t="str">
        <f>IFERROR(__xludf.DUMMYFUNCTION("""COMPUTED_VALUE"""),"Win a run without playing a *Four of a Kind*.")</f>
        <v>Win a run without playing a *Four of a Kind*.</v>
      </c>
      <c r="G134" s="1" t="str">
        <f>IFERROR(__xludf.DUMMYFUNCTION("""COMPUTED_VALUE"""),"*Xm*")</f>
        <v>*Xm*</v>
      </c>
      <c r="H134" s="1" t="str">
        <f>IFERROR(__xludf.DUMMYFUNCTION("""COMPUTED_VALUE"""),"Indep.")</f>
        <v>Indep.</v>
      </c>
    </row>
    <row r="135">
      <c r="A135" s="1">
        <f>IFERROR(__xludf.DUMMYFUNCTION("""COMPUTED_VALUE"""),134.0)</f>
        <v>134</v>
      </c>
      <c r="B135" s="1" t="str">
        <f>IFERROR(__xludf.DUMMYFUNCTION("""COMPUTED_VALUE"""),"The Order")</f>
        <v>The Order</v>
      </c>
      <c r="C135" s="1" t="str">
        <f>IFERROR(__xludf.DUMMYFUNCTION("""COMPUTED_VALUE"""),"*X3 Mult* if played hand contains a *Straight*")</f>
        <v>*X3 Mult* if played hand contains a *Straight*</v>
      </c>
      <c r="D135" s="1" t="str">
        <f>IFERROR(__xludf.DUMMYFUNCTION("""COMPUTED_VALUE"""),"*$8*")</f>
        <v>*$8*</v>
      </c>
      <c r="E135" s="1" t="str">
        <f>IFERROR(__xludf.DUMMYFUNCTION("""COMPUTED_VALUE"""),"Rare")</f>
        <v>Rare</v>
      </c>
      <c r="F135" s="1" t="str">
        <f>IFERROR(__xludf.DUMMYFUNCTION("""COMPUTED_VALUE"""),"Win a run without playing a *Straight*.")</f>
        <v>Win a run without playing a *Straight*.</v>
      </c>
      <c r="G135" s="1" t="str">
        <f>IFERROR(__xludf.DUMMYFUNCTION("""COMPUTED_VALUE"""),"*Xm*")</f>
        <v>*Xm*</v>
      </c>
      <c r="H135" s="1" t="str">
        <f>IFERROR(__xludf.DUMMYFUNCTION("""COMPUTED_VALUE"""),"Indep.")</f>
        <v>Indep.</v>
      </c>
    </row>
    <row r="136">
      <c r="A136" s="1">
        <f>IFERROR(__xludf.DUMMYFUNCTION("""COMPUTED_VALUE"""),135.0)</f>
        <v>135</v>
      </c>
      <c r="B136" s="1" t="str">
        <f>IFERROR(__xludf.DUMMYFUNCTION("""COMPUTED_VALUE"""),"The Tribe")</f>
        <v>The Tribe</v>
      </c>
      <c r="C136" s="1" t="str">
        <f>IFERROR(__xludf.DUMMYFUNCTION("""COMPUTED_VALUE"""),"*X2 Mult* if played hand contains a *Flush*")</f>
        <v>*X2 Mult* if played hand contains a *Flush*</v>
      </c>
      <c r="D136" s="1" t="str">
        <f>IFERROR(__xludf.DUMMYFUNCTION("""COMPUTED_VALUE"""),"*$8*")</f>
        <v>*$8*</v>
      </c>
      <c r="E136" s="1" t="str">
        <f>IFERROR(__xludf.DUMMYFUNCTION("""COMPUTED_VALUE"""),"Rare")</f>
        <v>Rare</v>
      </c>
      <c r="F136" s="1" t="str">
        <f>IFERROR(__xludf.DUMMYFUNCTION("""COMPUTED_VALUE"""),"Win a run without playing a *Flush*.")</f>
        <v>Win a run without playing a *Flush*.</v>
      </c>
      <c r="G136" s="1" t="str">
        <f>IFERROR(__xludf.DUMMYFUNCTION("""COMPUTED_VALUE"""),"*Xm*")</f>
        <v>*Xm*</v>
      </c>
      <c r="H136" s="1" t="str">
        <f>IFERROR(__xludf.DUMMYFUNCTION("""COMPUTED_VALUE"""),"Indep.")</f>
        <v>Indep.</v>
      </c>
    </row>
    <row r="137">
      <c r="A137" s="1">
        <f>IFERROR(__xludf.DUMMYFUNCTION("""COMPUTED_VALUE"""),136.0)</f>
        <v>136</v>
      </c>
      <c r="B137" s="1" t="str">
        <f>IFERROR(__xludf.DUMMYFUNCTION("""COMPUTED_VALUE"""),"Stuntman")</f>
        <v>Stuntman</v>
      </c>
      <c r="C137" s="1" t="str">
        <f>IFERROR(__xludf.DUMMYFUNCTION("""COMPUTED_VALUE"""),"*+250* *Chips*,
*-2* hand size")</f>
        <v>*+250* *Chips*,
*-2* hand size</v>
      </c>
      <c r="D137" s="1" t="str">
        <f>IFERROR(__xludf.DUMMYFUNCTION("""COMPUTED_VALUE"""),"*$7*")</f>
        <v>*$7*</v>
      </c>
      <c r="E137" s="1" t="str">
        <f>IFERROR(__xludf.DUMMYFUNCTION("""COMPUTED_VALUE"""),"Rare")</f>
        <v>Rare</v>
      </c>
      <c r="F137" s="1" t="str">
        <f>IFERROR(__xludf.DUMMYFUNCTION("""COMPUTED_VALUE"""),"Earn at least 100 million (100,000,000) Chips in a single hand.")</f>
        <v>Earn at least 100 million (100,000,000) Chips in a single hand.</v>
      </c>
      <c r="G137" s="1" t="str">
        <f>IFERROR(__xludf.DUMMYFUNCTION("""COMPUTED_VALUE"""),"*+c*")</f>
        <v>*+c*</v>
      </c>
      <c r="H137" s="1" t="str">
        <f>IFERROR(__xludf.DUMMYFUNCTION("""COMPUTED_VALUE"""),"Indep.")</f>
        <v>Indep.</v>
      </c>
    </row>
    <row r="138">
      <c r="A138" s="1">
        <f>IFERROR(__xludf.DUMMYFUNCTION("""COMPUTED_VALUE"""),137.0)</f>
        <v>137</v>
      </c>
      <c r="B138" s="1" t="str">
        <f>IFERROR(__xludf.DUMMYFUNCTION("""COMPUTED_VALUE"""),"Invisible Joker")</f>
        <v>Invisible Joker</v>
      </c>
      <c r="C138" s="1" t="str">
        <f>IFERROR(__xludf.DUMMYFUNCTION("""COMPUTED_VALUE"""),"After *2* rounds, sell this card to *Duplicate* a random Joker 
*(Currently 0/2)*
*(Removes Negative from copy)*")</f>
        <v>After *2* rounds, sell this card to *Duplicate* a random Joker 
*(Currently 0/2)*
*(Removes Negative from copy)*</v>
      </c>
      <c r="D138" s="1" t="str">
        <f>IFERROR(__xludf.DUMMYFUNCTION("""COMPUTED_VALUE"""),"*$8*")</f>
        <v>*$8*</v>
      </c>
      <c r="E138" s="1" t="str">
        <f>IFERROR(__xludf.DUMMYFUNCTION("""COMPUTED_VALUE"""),"Rare")</f>
        <v>Rare</v>
      </c>
      <c r="F138" s="1" t="str">
        <f>IFERROR(__xludf.DUMMYFUNCTION("""COMPUTED_VALUE"""),"Win a game while never having more than 4 jokers.")</f>
        <v>Win a game while never having more than 4 jokers.</v>
      </c>
      <c r="G138" s="1" t="str">
        <f>IFERROR(__xludf.DUMMYFUNCTION("""COMPUTED_VALUE"""),"*!!*")</f>
        <v>*!!*</v>
      </c>
      <c r="H138" s="1" t="str">
        <f>IFERROR(__xludf.DUMMYFUNCTION("""COMPUTED_VALUE"""),"N/A")</f>
        <v>N/A</v>
      </c>
    </row>
    <row r="139">
      <c r="A139" s="1">
        <f>IFERROR(__xludf.DUMMYFUNCTION("""COMPUTED_VALUE"""),138.0)</f>
        <v>138</v>
      </c>
      <c r="B139" s="1" t="str">
        <f>IFERROR(__xludf.DUMMYFUNCTION("""COMPUTED_VALUE"""),"Brainstorm")</f>
        <v>Brainstorm</v>
      </c>
      <c r="C139" s="1" t="str">
        <f>IFERROR(__xludf.DUMMYFUNCTION("""COMPUTED_VALUE"""),"Copies the ability of leftmost *Joker*")</f>
        <v>Copies the ability of leftmost *Joker*</v>
      </c>
      <c r="D139" s="1" t="str">
        <f>IFERROR(__xludf.DUMMYFUNCTION("""COMPUTED_VALUE"""),"*$10*")</f>
        <v>*$10*</v>
      </c>
      <c r="E139" s="1" t="str">
        <f>IFERROR(__xludf.DUMMYFUNCTION("""COMPUTED_VALUE"""),"Rare")</f>
        <v>Rare</v>
      </c>
      <c r="F139" s="1" t="str">
        <f>IFERROR(__xludf.DUMMYFUNCTION("""COMPUTED_VALUE"""),"Discard a *Royal Flush*.")</f>
        <v>Discard a *Royal Flush*.</v>
      </c>
      <c r="G139" s="1" t="str">
        <f>IFERROR(__xludf.DUMMYFUNCTION("""COMPUTED_VALUE"""),"*!!*")</f>
        <v>*!!*</v>
      </c>
      <c r="H139" s="1"/>
    </row>
    <row r="140">
      <c r="A140" s="1">
        <f>IFERROR(__xludf.DUMMYFUNCTION("""COMPUTED_VALUE"""),139.0)</f>
        <v>139</v>
      </c>
      <c r="B140" s="1" t="str">
        <f>IFERROR(__xludf.DUMMYFUNCTION("""COMPUTED_VALUE"""),"Satellite")</f>
        <v>Satellite</v>
      </c>
      <c r="C140" s="1" t="str">
        <f>IFERROR(__xludf.DUMMYFUNCTION("""COMPUTED_VALUE"""),"Earn *$1* at end of round per unique *Planet* card used this run")</f>
        <v>Earn *$1* at end of round per unique *Planet* card used this run</v>
      </c>
      <c r="D140" s="1" t="str">
        <f>IFERROR(__xludf.DUMMYFUNCTION("""COMPUTED_VALUE"""),"*$6*")</f>
        <v>*$6*</v>
      </c>
      <c r="E140" s="1" t="str">
        <f>IFERROR(__xludf.DUMMYFUNCTION("""COMPUTED_VALUE"""),"Uncommon")</f>
        <v>Uncommon</v>
      </c>
      <c r="F140" s="1" t="str">
        <f>IFERROR(__xludf.DUMMYFUNCTION("""COMPUTED_VALUE"""),"Have at least $400.")</f>
        <v>Have at least $400.</v>
      </c>
      <c r="G140" s="1" t="str">
        <f>IFERROR(__xludf.DUMMYFUNCTION("""COMPUTED_VALUE"""),"*+$*")</f>
        <v>*+$*</v>
      </c>
      <c r="H140" s="1" t="str">
        <f>IFERROR(__xludf.DUMMYFUNCTION("""COMPUTED_VALUE"""),"N/A")</f>
        <v>N/A</v>
      </c>
    </row>
    <row r="141">
      <c r="A141" s="1">
        <f>IFERROR(__xludf.DUMMYFUNCTION("""COMPUTED_VALUE"""),140.0)</f>
        <v>140</v>
      </c>
      <c r="B141" s="1" t="str">
        <f>IFERROR(__xludf.DUMMYFUNCTION("""COMPUTED_VALUE"""),"Shoot the Moon")</f>
        <v>Shoot the Moon</v>
      </c>
      <c r="C141" s="1" t="str">
        <f>IFERROR(__xludf.DUMMYFUNCTION("""COMPUTED_VALUE"""),"Each *Queen* held in hand gives *+13 Mult*")</f>
        <v>Each *Queen* held in hand gives *+13 Mult*</v>
      </c>
      <c r="D141" s="1" t="str">
        <f>IFERROR(__xludf.DUMMYFUNCTION("""COMPUTED_VALUE"""),"*$5*")</f>
        <v>*$5*</v>
      </c>
      <c r="E141" s="1" t="str">
        <f>IFERROR(__xludf.DUMMYFUNCTION("""COMPUTED_VALUE"""),"Common")</f>
        <v>Common</v>
      </c>
      <c r="F141" s="1" t="str">
        <f>IFERROR(__xludf.DUMMYFUNCTION("""COMPUTED_VALUE"""),"Play every Heart card in your deck in one round.")</f>
        <v>Play every Heart card in your deck in one round.</v>
      </c>
      <c r="G141" s="1" t="str">
        <f>IFERROR(__xludf.DUMMYFUNCTION("""COMPUTED_VALUE"""),"*+m*")</f>
        <v>*+m*</v>
      </c>
      <c r="H141" s="1" t="str">
        <f>IFERROR(__xludf.DUMMYFUNCTION("""COMPUTED_VALUE"""),"On Held")</f>
        <v>On Held</v>
      </c>
    </row>
    <row r="142">
      <c r="A142" s="1">
        <f>IFERROR(__xludf.DUMMYFUNCTION("""COMPUTED_VALUE"""),141.0)</f>
        <v>141</v>
      </c>
      <c r="B142" s="1" t="str">
        <f>IFERROR(__xludf.DUMMYFUNCTION("""COMPUTED_VALUE"""),"Driver's License")</f>
        <v>Driver's License</v>
      </c>
      <c r="C142" s="1" t="str">
        <f>IFERROR(__xludf.DUMMYFUNCTION("""COMPUTED_VALUE"""),"*X3 Mult* if you have at least *16* Enhanced cards in your full deck 
*(Currently 0)*")</f>
        <v>*X3 Mult* if you have at least *16* Enhanced cards in your full deck 
*(Currently 0)*</v>
      </c>
      <c r="D142" s="1" t="str">
        <f>IFERROR(__xludf.DUMMYFUNCTION("""COMPUTED_VALUE"""),"*$7*")</f>
        <v>*$7*</v>
      </c>
      <c r="E142" s="1" t="str">
        <f>IFERROR(__xludf.DUMMYFUNCTION("""COMPUTED_VALUE"""),"Rare")</f>
        <v>Rare</v>
      </c>
      <c r="F142" s="1" t="str">
        <f>IFERROR(__xludf.DUMMYFUNCTION("""COMPUTED_VALUE"""),"Enhance 16 cards in your deck")</f>
        <v>Enhance 16 cards in your deck</v>
      </c>
      <c r="G142" s="1" t="str">
        <f>IFERROR(__xludf.DUMMYFUNCTION("""COMPUTED_VALUE"""),"*Xm*")</f>
        <v>*Xm*</v>
      </c>
      <c r="H142" s="1" t="str">
        <f>IFERROR(__xludf.DUMMYFUNCTION("""COMPUTED_VALUE"""),"Indep.")</f>
        <v>Indep.</v>
      </c>
    </row>
    <row r="143">
      <c r="A143" s="1">
        <f>IFERROR(__xludf.DUMMYFUNCTION("""COMPUTED_VALUE"""),142.0)</f>
        <v>142</v>
      </c>
      <c r="B143" s="1" t="str">
        <f>IFERROR(__xludf.DUMMYFUNCTION("""COMPUTED_VALUE"""),"Cartomancer")</f>
        <v>Cartomancer</v>
      </c>
      <c r="C143" s="1" t="str">
        <f>IFERROR(__xludf.DUMMYFUNCTION("""COMPUTED_VALUE"""),"Create a *Tarot* card when *Blind* is selected 
*(Must have room)*")</f>
        <v>Create a *Tarot* card when *Blind* is selected 
*(Must have room)*</v>
      </c>
      <c r="D143" s="1" t="str">
        <f>IFERROR(__xludf.DUMMYFUNCTION("""COMPUTED_VALUE"""),"*$6*")</f>
        <v>*$6*</v>
      </c>
      <c r="E143" s="1" t="str">
        <f>IFERROR(__xludf.DUMMYFUNCTION("""COMPUTED_VALUE"""),"Uncommon")</f>
        <v>Uncommon</v>
      </c>
      <c r="F143" s="1" t="str">
        <f>IFERROR(__xludf.DUMMYFUNCTION("""COMPUTED_VALUE"""),"Discover every Tarot Card.")</f>
        <v>Discover every Tarot Card.</v>
      </c>
      <c r="G143" s="1" t="str">
        <f>IFERROR(__xludf.DUMMYFUNCTION("""COMPUTED_VALUE"""),"*!!*")</f>
        <v>*!!*</v>
      </c>
      <c r="H143" s="1" t="str">
        <f>IFERROR(__xludf.DUMMYFUNCTION("""COMPUTED_VALUE"""),"N/A")</f>
        <v>N/A</v>
      </c>
    </row>
    <row r="144">
      <c r="A144" s="1">
        <f>IFERROR(__xludf.DUMMYFUNCTION("""COMPUTED_VALUE"""),143.0)</f>
        <v>143</v>
      </c>
      <c r="B144" s="1" t="str">
        <f>IFERROR(__xludf.DUMMYFUNCTION("""COMPUTED_VALUE"""),"Astronomer")</f>
        <v>Astronomer</v>
      </c>
      <c r="C144" s="1" t="str">
        <f>IFERROR(__xludf.DUMMYFUNCTION("""COMPUTED_VALUE"""),"All *Planet* cards and *Celestial Packs* in the shop are *free*")</f>
        <v>All *Planet* cards and *Celestial Packs* in the shop are *free*</v>
      </c>
      <c r="D144" s="1" t="str">
        <f>IFERROR(__xludf.DUMMYFUNCTION("""COMPUTED_VALUE"""),"*$8*")</f>
        <v>*$8*</v>
      </c>
      <c r="E144" s="1" t="str">
        <f>IFERROR(__xludf.DUMMYFUNCTION("""COMPUTED_VALUE"""),"Uncommon")</f>
        <v>Uncommon</v>
      </c>
      <c r="F144" s="1" t="str">
        <f>IFERROR(__xludf.DUMMYFUNCTION("""COMPUTED_VALUE"""),"Discover all Planet cards.")</f>
        <v>Discover all Planet cards.</v>
      </c>
      <c r="G144" s="1" t="str">
        <f>IFERROR(__xludf.DUMMYFUNCTION("""COMPUTED_VALUE"""),"*!!*")</f>
        <v>*!!*</v>
      </c>
      <c r="H144" s="1" t="str">
        <f>IFERROR(__xludf.DUMMYFUNCTION("""COMPUTED_VALUE"""),"N/A")</f>
        <v>N/A</v>
      </c>
    </row>
    <row r="145">
      <c r="A145" s="1">
        <f>IFERROR(__xludf.DUMMYFUNCTION("""COMPUTED_VALUE"""),144.0)</f>
        <v>144</v>
      </c>
      <c r="B145" s="1" t="str">
        <f>IFERROR(__xludf.DUMMYFUNCTION("""COMPUTED_VALUE"""),"Burnt Joker")</f>
        <v>Burnt Joker</v>
      </c>
      <c r="C145" s="1" t="str">
        <f>IFERROR(__xludf.DUMMYFUNCTION("""COMPUTED_VALUE"""),"Upgrade the level of the first *discarded* poker hand each round")</f>
        <v>Upgrade the level of the first *discarded* poker hand each round</v>
      </c>
      <c r="D145" s="1" t="str">
        <f>IFERROR(__xludf.DUMMYFUNCTION("""COMPUTED_VALUE"""),"*$8*")</f>
        <v>*$8*</v>
      </c>
      <c r="E145" s="1" t="str">
        <f>IFERROR(__xludf.DUMMYFUNCTION("""COMPUTED_VALUE"""),"Rare")</f>
        <v>Rare</v>
      </c>
      <c r="F145" s="1" t="str">
        <f>IFERROR(__xludf.DUMMYFUNCTION("""COMPUTED_VALUE"""),"Sell 50 cards.")</f>
        <v>Sell 50 cards.</v>
      </c>
      <c r="G145" s="1" t="str">
        <f>IFERROR(__xludf.DUMMYFUNCTION("""COMPUTED_VALUE"""),"*!!*")</f>
        <v>*!!*</v>
      </c>
      <c r="H145" s="1" t="str">
        <f>IFERROR(__xludf.DUMMYFUNCTION("""COMPUTED_VALUE"""),"On Discard")</f>
        <v>On Discard</v>
      </c>
    </row>
    <row r="146">
      <c r="A146" s="1">
        <f>IFERROR(__xludf.DUMMYFUNCTION("""COMPUTED_VALUE"""),145.0)</f>
        <v>145</v>
      </c>
      <c r="B146" s="1" t="str">
        <f>IFERROR(__xludf.DUMMYFUNCTION("""COMPUTED_VALUE"""),"Bootstraps")</f>
        <v>Bootstraps</v>
      </c>
      <c r="C146" s="1" t="str">
        <f>IFERROR(__xludf.DUMMYFUNCTION("""COMPUTED_VALUE"""),"*+2 Mult* for every *$5* you have 
*(Currently +0 Mult)*")</f>
        <v>*+2 Mult* for every *$5* you have 
*(Currently +0 Mult)*</v>
      </c>
      <c r="D146" s="1" t="str">
        <f>IFERROR(__xludf.DUMMYFUNCTION("""COMPUTED_VALUE"""),"*$7*")</f>
        <v>*$7*</v>
      </c>
      <c r="E146" s="1" t="str">
        <f>IFERROR(__xludf.DUMMYFUNCTION("""COMPUTED_VALUE"""),"Uncommon")</f>
        <v>Uncommon</v>
      </c>
      <c r="F146" s="1" t="str">
        <f>IFERROR(__xludf.DUMMYFUNCTION("""COMPUTED_VALUE"""),"Have at least *2**Polychrome* Jokers at the same time.")</f>
        <v>Have at least *2**Polychrome* Jokers at the same time.</v>
      </c>
      <c r="G146" s="1" t="str">
        <f>IFERROR(__xludf.DUMMYFUNCTION("""COMPUTED_VALUE"""),"*+m*")</f>
        <v>*+m*</v>
      </c>
      <c r="H146" s="1" t="str">
        <f>IFERROR(__xludf.DUMMYFUNCTION("""COMPUTED_VALUE"""),"Indep.")</f>
        <v>Indep.</v>
      </c>
    </row>
    <row r="147">
      <c r="A147" s="1">
        <f>IFERROR(__xludf.DUMMYFUNCTION("""COMPUTED_VALUE"""),146.0)</f>
        <v>146</v>
      </c>
      <c r="B147" s="1" t="str">
        <f>IFERROR(__xludf.DUMMYFUNCTION("""COMPUTED_VALUE"""),"Canio")</f>
        <v>Canio</v>
      </c>
      <c r="C147" s="1" t="str">
        <f>IFERROR(__xludf.DUMMYFUNCTION("""COMPUTED_VALUE"""),"This Joker gains *X1 Mult* when a *face* card is destroyed 
*(Currently X1 Mult)*")</f>
        <v>This Joker gains *X1 Mult* when a *face* card is destroyed 
*(Currently X1 Mult)*</v>
      </c>
      <c r="D147" s="1" t="str">
        <f>IFERROR(__xludf.DUMMYFUNCTION("""COMPUTED_VALUE"""),"N/A")</f>
        <v>N/A</v>
      </c>
      <c r="E147" s="1" t="str">
        <f>IFERROR(__xludf.DUMMYFUNCTION("""COMPUTED_VALUE"""),"Legendary")</f>
        <v>Legendary</v>
      </c>
      <c r="F147" s="1" t="str">
        <f>IFERROR(__xludf.DUMMYFUNCTION("""COMPUTED_VALUE"""),"Find this *Joker* from the *Soul* card.")</f>
        <v>Find this *Joker* from the *Soul* card.</v>
      </c>
      <c r="G147" s="1" t="str">
        <f>IFERROR(__xludf.DUMMYFUNCTION("""COMPUTED_VALUE"""),"*Xm*")</f>
        <v>*Xm*</v>
      </c>
      <c r="H147" s="1" t="str">
        <f>IFERROR(__xludf.DUMMYFUNCTION("""COMPUTED_VALUE"""),"Indep.")</f>
        <v>Indep.</v>
      </c>
    </row>
    <row r="148">
      <c r="A148" s="1">
        <f>IFERROR(__xludf.DUMMYFUNCTION("""COMPUTED_VALUE"""),147.0)</f>
        <v>147</v>
      </c>
      <c r="B148" s="1" t="str">
        <f>IFERROR(__xludf.DUMMYFUNCTION("""COMPUTED_VALUE"""),"Triboulet")</f>
        <v>Triboulet</v>
      </c>
      <c r="C148" s="1" t="str">
        <f>IFERROR(__xludf.DUMMYFUNCTION("""COMPUTED_VALUE"""),"Played Kings and Queens each give *X2 Mult* when scored")</f>
        <v>Played Kings and Queens each give *X2 Mult* when scored</v>
      </c>
      <c r="D148" s="1" t="str">
        <f>IFERROR(__xludf.DUMMYFUNCTION("""COMPUTED_VALUE"""),"N/A")</f>
        <v>N/A</v>
      </c>
      <c r="E148" s="1" t="str">
        <f>IFERROR(__xludf.DUMMYFUNCTION("""COMPUTED_VALUE"""),"Legendary")</f>
        <v>Legendary</v>
      </c>
      <c r="F148" s="1" t="str">
        <f>IFERROR(__xludf.DUMMYFUNCTION("""COMPUTED_VALUE"""),"Find this *Joker* from the *Soul* card.")</f>
        <v>Find this *Joker* from the *Soul* card.</v>
      </c>
      <c r="G148" s="1" t="str">
        <f>IFERROR(__xludf.DUMMYFUNCTION("""COMPUTED_VALUE"""),"*Xm*")</f>
        <v>*Xm*</v>
      </c>
      <c r="H148" s="1" t="str">
        <f>IFERROR(__xludf.DUMMYFUNCTION("""COMPUTED_VALUE"""),"On Scored")</f>
        <v>On Scored</v>
      </c>
    </row>
    <row r="149">
      <c r="A149" s="1">
        <f>IFERROR(__xludf.DUMMYFUNCTION("""COMPUTED_VALUE"""),148.0)</f>
        <v>148</v>
      </c>
      <c r="B149" s="1" t="str">
        <f>IFERROR(__xludf.DUMMYFUNCTION("""COMPUTED_VALUE"""),"Yorick")</f>
        <v>Yorick</v>
      </c>
      <c r="C149" s="1" t="str">
        <f>IFERROR(__xludf.DUMMYFUNCTION("""COMPUTED_VALUE"""),"This Joker gains *X1 Mult* every *23**[23]* cards discarded
*(Currently X1 Mult)*")</f>
        <v>This Joker gains *X1 Mult* every *23**[23]* cards discarded
*(Currently X1 Mult)*</v>
      </c>
      <c r="D149" s="1" t="str">
        <f>IFERROR(__xludf.DUMMYFUNCTION("""COMPUTED_VALUE"""),"N/A")</f>
        <v>N/A</v>
      </c>
      <c r="E149" s="1" t="str">
        <f>IFERROR(__xludf.DUMMYFUNCTION("""COMPUTED_VALUE"""),"Legendary")</f>
        <v>Legendary</v>
      </c>
      <c r="F149" s="1" t="str">
        <f>IFERROR(__xludf.DUMMYFUNCTION("""COMPUTED_VALUE"""),"Find this *Joker* from the *Soul* card.")</f>
        <v>Find this *Joker* from the *Soul* card.</v>
      </c>
      <c r="G149" s="1" t="str">
        <f>IFERROR(__xludf.DUMMYFUNCTION("""COMPUTED_VALUE"""),"*Xm*")</f>
        <v>*Xm*</v>
      </c>
      <c r="H149" s="1" t="str">
        <f>IFERROR(__xludf.DUMMYFUNCTION("""COMPUTED_VALUE"""),"Mixed")</f>
        <v>Mixed</v>
      </c>
    </row>
    <row r="150">
      <c r="A150" s="1">
        <f>IFERROR(__xludf.DUMMYFUNCTION("""COMPUTED_VALUE"""),149.0)</f>
        <v>149</v>
      </c>
      <c r="B150" s="1" t="str">
        <f>IFERROR(__xludf.DUMMYFUNCTION("""COMPUTED_VALUE"""),"Chicot")</f>
        <v>Chicot</v>
      </c>
      <c r="C150" s="1" t="str">
        <f>IFERROR(__xludf.DUMMYFUNCTION("""COMPUTED_VALUE"""),"Disables effect of every Boss Blind")</f>
        <v>Disables effect of every Boss Blind</v>
      </c>
      <c r="D150" s="1" t="str">
        <f>IFERROR(__xludf.DUMMYFUNCTION("""COMPUTED_VALUE"""),"N/A")</f>
        <v>N/A</v>
      </c>
      <c r="E150" s="1" t="str">
        <f>IFERROR(__xludf.DUMMYFUNCTION("""COMPUTED_VALUE"""),"Legendary")</f>
        <v>Legendary</v>
      </c>
      <c r="F150" s="1" t="str">
        <f>IFERROR(__xludf.DUMMYFUNCTION("""COMPUTED_VALUE"""),"Find this *Joker* from the *Soul* card.")</f>
        <v>Find this *Joker* from the *Soul* card.</v>
      </c>
      <c r="G150" s="1" t="str">
        <f>IFERROR(__xludf.DUMMYFUNCTION("""COMPUTED_VALUE"""),"*!!*")</f>
        <v>*!!*</v>
      </c>
      <c r="H150" s="1" t="str">
        <f>IFERROR(__xludf.DUMMYFUNCTION("""COMPUTED_VALUE"""),"N/A")</f>
        <v>N/A</v>
      </c>
    </row>
    <row r="151">
      <c r="A151" s="1">
        <f>IFERROR(__xludf.DUMMYFUNCTION("""COMPUTED_VALUE"""),150.0)</f>
        <v>150</v>
      </c>
      <c r="B151" s="1" t="str">
        <f>IFERROR(__xludf.DUMMYFUNCTION("""COMPUTED_VALUE"""),"Perkeo")</f>
        <v>Perkeo</v>
      </c>
      <c r="C151" s="1" t="str">
        <f>IFERROR(__xludf.DUMMYFUNCTION("""COMPUTED_VALUE"""),"Creates a *Negative* copy of *1* random *consumable* card in your 
possession at the end of the *shop*")</f>
        <v>Creates a *Negative* copy of *1* random *consumable* card in your 
possession at the end of the *shop*</v>
      </c>
      <c r="D151" s="1" t="str">
        <f>IFERROR(__xludf.DUMMYFUNCTION("""COMPUTED_VALUE"""),"N/A")</f>
        <v>N/A</v>
      </c>
      <c r="E151" s="1" t="str">
        <f>IFERROR(__xludf.DUMMYFUNCTION("""COMPUTED_VALUE"""),"Legendary")</f>
        <v>Legendary</v>
      </c>
      <c r="F151" s="1" t="str">
        <f>IFERROR(__xludf.DUMMYFUNCTION("""COMPUTED_VALUE"""),"Find this *Joker* from the *Soul* card.")</f>
        <v>Find this *Joker* from the *Soul* card.</v>
      </c>
      <c r="G151" s="1" t="str">
        <f>IFERROR(__xludf.DUMMYFUNCTION("""COMPUTED_VALUE"""),"*!!*")</f>
        <v>*!!*</v>
      </c>
      <c r="H151" s="1" t="str">
        <f>IFERROR(__xludf.DUMMYFUNCTION("""COMPUTED_VALUE"""),"N/A")</f>
        <v>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IFERROR(__xludf.DUMMYFUNCTION("IMPORTHTML(""https://balatrogame.fandom.com/wiki/Tarot_Cards"", ""table"", 1)"),"Tarot Card")</f>
        <v>Tarot Card</v>
      </c>
      <c r="B1" s="1" t="str">
        <f>IFERROR(__xludf.DUMMYFUNCTION("""COMPUTED_VALUE"""),"Name")</f>
        <v>Name</v>
      </c>
      <c r="C1" s="1" t="str">
        <f>IFERROR(__xludf.DUMMYFUNCTION("""COMPUTED_VALUE"""),"Description")</f>
        <v>Description</v>
      </c>
    </row>
    <row r="2">
      <c r="A2" s="1"/>
      <c r="B2" s="1" t="str">
        <f>IFERROR(__xludf.DUMMYFUNCTION("""COMPUTED_VALUE"""),"*The Fool (0)*")</f>
        <v>*The Fool (0)*</v>
      </c>
      <c r="C2" s="1" t="str">
        <f>IFERROR(__xludf.DUMMYFUNCTION("""COMPUTED_VALUE"""),"Creates a copy of the last *Tarot* or *Planet* card used. 
(*The Fool* excluded)")</f>
        <v>Creates a copy of the last *Tarot* or *Planet* card used. 
(*The Fool* excluded)</v>
      </c>
    </row>
    <row r="3">
      <c r="A3" s="1"/>
      <c r="B3" s="1" t="str">
        <f>IFERROR(__xludf.DUMMYFUNCTION("""COMPUTED_VALUE"""),"*The Magician (I)*")</f>
        <v>*The Magician (I)*</v>
      </c>
      <c r="C3" s="1" t="str">
        <f>IFERROR(__xludf.DUMMYFUNCTION("""COMPUTED_VALUE"""),"Enhances *2* selected cards to *Lucky Cards*")</f>
        <v>Enhances *2* selected cards to *Lucky Cards*</v>
      </c>
    </row>
    <row r="4">
      <c r="A4" s="1"/>
      <c r="B4" s="1" t="str">
        <f>IFERROR(__xludf.DUMMYFUNCTION("""COMPUTED_VALUE"""),"*The High Priestess (II)*")</f>
        <v>*The High Priestess (II)*</v>
      </c>
      <c r="C4" s="1" t="str">
        <f>IFERROR(__xludf.DUMMYFUNCTION("""COMPUTED_VALUE"""),"Creates up to *2* random *Planet* cards
*(Must have room)*")</f>
        <v>Creates up to *2* random *Planet* cards
*(Must have room)*</v>
      </c>
    </row>
    <row r="5">
      <c r="A5" s="1"/>
      <c r="B5" s="1" t="str">
        <f>IFERROR(__xludf.DUMMYFUNCTION("""COMPUTED_VALUE"""),"*The Empress (III)*")</f>
        <v>*The Empress (III)*</v>
      </c>
      <c r="C5" s="1" t="str">
        <f>IFERROR(__xludf.DUMMYFUNCTION("""COMPUTED_VALUE"""),"Enhances *2* selected cards to *Mult Cards*")</f>
        <v>Enhances *2* selected cards to *Mult Cards*</v>
      </c>
    </row>
    <row r="6">
      <c r="A6" s="1"/>
      <c r="B6" s="1" t="str">
        <f>IFERROR(__xludf.DUMMYFUNCTION("""COMPUTED_VALUE"""),"*The Emperor (IV)*")</f>
        <v>*The Emperor (IV)*</v>
      </c>
      <c r="C6" s="1" t="str">
        <f>IFERROR(__xludf.DUMMYFUNCTION("""COMPUTED_VALUE"""),"Creates up to *2* random *Tarot* cards
*(Must have room)*")</f>
        <v>Creates up to *2* random *Tarot* cards
*(Must have room)*</v>
      </c>
    </row>
    <row r="7">
      <c r="A7" s="1"/>
      <c r="B7" s="1" t="str">
        <f>IFERROR(__xludf.DUMMYFUNCTION("""COMPUTED_VALUE"""),"*The Hierophant (V)*")</f>
        <v>*The Hierophant (V)*</v>
      </c>
      <c r="C7" s="1" t="str">
        <f>IFERROR(__xludf.DUMMYFUNCTION("""COMPUTED_VALUE"""),"Enhances *2* selected cards to *Bonus Cards*")</f>
        <v>Enhances *2* selected cards to *Bonus Cards*</v>
      </c>
    </row>
    <row r="8">
      <c r="A8" s="1"/>
      <c r="B8" s="1" t="str">
        <f>IFERROR(__xludf.DUMMYFUNCTION("""COMPUTED_VALUE"""),"*The Lovers (VI)*")</f>
        <v>*The Lovers (VI)*</v>
      </c>
      <c r="C8" s="1" t="str">
        <f>IFERROR(__xludf.DUMMYFUNCTION("""COMPUTED_VALUE"""),"Enhances *1* selected card into a *Wild Card*")</f>
        <v>Enhances *1* selected card into a *Wild Card*</v>
      </c>
    </row>
    <row r="9">
      <c r="A9" s="1"/>
      <c r="B9" s="1" t="str">
        <f>IFERROR(__xludf.DUMMYFUNCTION("""COMPUTED_VALUE"""),"*The Chariot (VII)*")</f>
        <v>*The Chariot (VII)*</v>
      </c>
      <c r="C9" s="1" t="str">
        <f>IFERROR(__xludf.DUMMYFUNCTION("""COMPUTED_VALUE"""),"Enhances *1* selected card into a *Steel Card*")</f>
        <v>Enhances *1* selected card into a *Steel Card*</v>
      </c>
    </row>
    <row r="10">
      <c r="A10" s="1"/>
      <c r="B10" s="1" t="str">
        <f>IFERROR(__xludf.DUMMYFUNCTION("""COMPUTED_VALUE"""),"*Justice (VIII)*")</f>
        <v>*Justice (VIII)*</v>
      </c>
      <c r="C10" s="1" t="str">
        <f>IFERROR(__xludf.DUMMYFUNCTION("""COMPUTED_VALUE"""),"Enhances *1* selected card into a *Glass Card*")</f>
        <v>Enhances *1* selected card into a *Glass Card*</v>
      </c>
    </row>
    <row r="11">
      <c r="A11" s="1"/>
      <c r="B11" s="1" t="str">
        <f>IFERROR(__xludf.DUMMYFUNCTION("""COMPUTED_VALUE"""),"*The Hermit (IX)*")</f>
        <v>*The Hermit (IX)*</v>
      </c>
      <c r="C11" s="1" t="str">
        <f>IFERROR(__xludf.DUMMYFUNCTION("""COMPUTED_VALUE"""),"Doubles money
*(Max of**$20**)*")</f>
        <v>Doubles money
*(Max of**$20**)*</v>
      </c>
    </row>
    <row r="12">
      <c r="A12" s="1"/>
      <c r="B12" s="1" t="str">
        <f>IFERROR(__xludf.DUMMYFUNCTION("""COMPUTED_VALUE"""),"*The Wheel of Fortune (X)*")</f>
        <v>*The Wheel of Fortune (X)*</v>
      </c>
      <c r="C12" s="1" t="str">
        <f>IFERROR(__xludf.DUMMYFUNCTION("""COMPUTED_VALUE"""),"*1 in 4* chance to add Foil, Holographic, or Polychrome edition to a random 
*Joker*")</f>
        <v>*1 in 4* chance to add Foil, Holographic, or Polychrome edition to a random 
*Joker*</v>
      </c>
    </row>
    <row r="13">
      <c r="A13" s="1"/>
      <c r="B13" s="1" t="str">
        <f>IFERROR(__xludf.DUMMYFUNCTION("""COMPUTED_VALUE"""),"*Strength (XI)*")</f>
        <v>*Strength (XI)*</v>
      </c>
      <c r="C13" s="1" t="str">
        <f>IFERROR(__xludf.DUMMYFUNCTION("""COMPUTED_VALUE"""),"Increases rank of up to *2* selected cards by *1*
*(Rank order: A→2→3→4→5→6→7→8→9→10→J→Q→K→A)*")</f>
        <v>Increases rank of up to *2* selected cards by *1*
*(Rank order: A→2→3→4→5→6→7→8→9→10→J→Q→K→A)*</v>
      </c>
    </row>
    <row r="14">
      <c r="A14" s="1"/>
      <c r="B14" s="1" t="str">
        <f>IFERROR(__xludf.DUMMYFUNCTION("""COMPUTED_VALUE"""),"*The Hanged Man (XII)*")</f>
        <v>*The Hanged Man (XII)*</v>
      </c>
      <c r="C14" s="1" t="str">
        <f>IFERROR(__xludf.DUMMYFUNCTION("""COMPUTED_VALUE"""),"Destroys up to *2* selected cards")</f>
        <v>Destroys up to *2* selected cards</v>
      </c>
    </row>
    <row r="15">
      <c r="A15" s="1"/>
      <c r="B15" s="1" t="str">
        <f>IFERROR(__xludf.DUMMYFUNCTION("""COMPUTED_VALUE"""),"*Death (XIII)*")</f>
        <v>*Death (XIII)*</v>
      </c>
      <c r="C15" s="1" t="str">
        <f>IFERROR(__xludf.DUMMYFUNCTION("""COMPUTED_VALUE"""),"Select *2* cards, convert the *left* card into the *right* card
*(Drag to rearrange)*")</f>
        <v>Select *2* cards, convert the *left* card into the *right* card
*(Drag to rearrange)*</v>
      </c>
    </row>
    <row r="16">
      <c r="A16" s="1"/>
      <c r="B16" s="1" t="str">
        <f>IFERROR(__xludf.DUMMYFUNCTION("""COMPUTED_VALUE"""),"*Temperance (XIV)*")</f>
        <v>*Temperance (XIV)*</v>
      </c>
      <c r="C16" s="1" t="str">
        <f>IFERROR(__xludf.DUMMYFUNCTION("""COMPUTED_VALUE"""),"Gives the total sell value of all current Jokers
*(Max of**$50**)*")</f>
        <v>Gives the total sell value of all current Jokers
*(Max of**$50**)*</v>
      </c>
    </row>
    <row r="17">
      <c r="A17" s="1"/>
      <c r="B17" s="1" t="str">
        <f>IFERROR(__xludf.DUMMYFUNCTION("""COMPUTED_VALUE"""),"*The Devil (XV)*")</f>
        <v>*The Devil (XV)*</v>
      </c>
      <c r="C17" s="1" t="str">
        <f>IFERROR(__xludf.DUMMYFUNCTION("""COMPUTED_VALUE"""),"Enhances *1* selected card into a *Gold Card*")</f>
        <v>Enhances *1* selected card into a *Gold Card*</v>
      </c>
    </row>
    <row r="18">
      <c r="A18" s="1"/>
      <c r="B18" s="1" t="str">
        <f>IFERROR(__xludf.DUMMYFUNCTION("""COMPUTED_VALUE"""),"*The Tower (XVI)*")</f>
        <v>*The Tower (XVI)*</v>
      </c>
      <c r="C18" s="1" t="str">
        <f>IFERROR(__xludf.DUMMYFUNCTION("""COMPUTED_VALUE"""),"Enhances *1* selected card into a *Stone Card*")</f>
        <v>Enhances *1* selected card into a *Stone Card*</v>
      </c>
    </row>
    <row r="19">
      <c r="A19" s="1"/>
      <c r="B19" s="1" t="str">
        <f>IFERROR(__xludf.DUMMYFUNCTION("""COMPUTED_VALUE"""),"*The Star (XVII)*")</f>
        <v>*The Star (XVII)*</v>
      </c>
      <c r="C19" s="1" t="str">
        <f>IFERROR(__xludf.DUMMYFUNCTION("""COMPUTED_VALUE"""),"Converts up to *3* selected cards to * Diamonds*")</f>
        <v>Converts up to *3* selected cards to * Diamonds*</v>
      </c>
    </row>
    <row r="20">
      <c r="A20" s="1"/>
      <c r="B20" s="1" t="str">
        <f>IFERROR(__xludf.DUMMYFUNCTION("""COMPUTED_VALUE"""),"*The Moon (XVIII)*")</f>
        <v>*The Moon (XVIII)*</v>
      </c>
      <c r="C20" s="1" t="str">
        <f>IFERROR(__xludf.DUMMYFUNCTION("""COMPUTED_VALUE"""),"Converts up to *3* selected cards to * Clubs*")</f>
        <v>Converts up to *3* selected cards to * Clubs*</v>
      </c>
    </row>
    <row r="21">
      <c r="A21" s="1"/>
      <c r="B21" s="1" t="str">
        <f>IFERROR(__xludf.DUMMYFUNCTION("""COMPUTED_VALUE"""),"*The Sun (XIX)*")</f>
        <v>*The Sun (XIX)*</v>
      </c>
      <c r="C21" s="1" t="str">
        <f>IFERROR(__xludf.DUMMYFUNCTION("""COMPUTED_VALUE"""),"Converts up to *3* selected cards to * Hearts*")</f>
        <v>Converts up to *3* selected cards to * Hearts*</v>
      </c>
    </row>
    <row r="22">
      <c r="A22" s="1"/>
      <c r="B22" s="1" t="str">
        <f>IFERROR(__xludf.DUMMYFUNCTION("""COMPUTED_VALUE"""),"*Judgement (XX)*")</f>
        <v>*Judgement (XX)*</v>
      </c>
      <c r="C22" s="1" t="str">
        <f>IFERROR(__xludf.DUMMYFUNCTION("""COMPUTED_VALUE"""),"Creates a random *Joker* card (without in-run stickers)
*(Must have room)*")</f>
        <v>Creates a random *Joker* card (without in-run stickers)
*(Must have room)*</v>
      </c>
    </row>
    <row r="23">
      <c r="A23" s="1"/>
      <c r="B23" s="1" t="str">
        <f>IFERROR(__xludf.DUMMYFUNCTION("""COMPUTED_VALUE"""),"*The World (XXI)*")</f>
        <v>*The World (XXI)*</v>
      </c>
      <c r="C23" s="1" t="str">
        <f>IFERROR(__xludf.DUMMYFUNCTION("""COMPUTED_VALUE"""),"Converts up to *3* selected cards to * Spades*")</f>
        <v>Converts up to *3* selected cards to * Spades*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IFERROR(__xludf.DUMMYFUNCTION("IMPORTHTML(""https://balatrogame.fandom.com/wiki/Planet_Cards"", ""table"", 1)"),"Planet Card")</f>
        <v>Planet Card</v>
      </c>
      <c r="B1" s="1" t="str">
        <f>IFERROR(__xludf.DUMMYFUNCTION("""COMPUTED_VALUE"""),"Name")</f>
        <v>Name</v>
      </c>
      <c r="C1" s="1" t="str">
        <f>IFERROR(__xludf.DUMMYFUNCTION("""COMPUTED_VALUE"""),"Addition")</f>
        <v>Addition</v>
      </c>
      <c r="D1" s="1" t="str">
        <f>IFERROR(__xludf.DUMMYFUNCTION("""COMPUTED_VALUE"""),"Poker Hand")</f>
        <v>Poker Hand</v>
      </c>
      <c r="E1" s="1" t="str">
        <f>IFERROR(__xludf.DUMMYFUNCTION("""COMPUTED_VALUE"""),"Hand Base Score")</f>
        <v>Hand Base Score</v>
      </c>
      <c r="F1" s="1" t="str">
        <f>IFERROR(__xludf.DUMMYFUNCTION("""COMPUTED_VALUE"""),"Type")</f>
        <v>Type</v>
      </c>
    </row>
    <row r="2">
      <c r="A2" s="1"/>
      <c r="B2" s="1" t="str">
        <f>IFERROR(__xludf.DUMMYFUNCTION("""COMPUTED_VALUE"""),"*Pluto*")</f>
        <v>*Pluto*</v>
      </c>
      <c r="C2" s="1" t="str">
        <f>IFERROR(__xludf.DUMMYFUNCTION("""COMPUTED_VALUE"""),"*+1 Mult* and *+10* *Chips*")</f>
        <v>*+1 Mult* and *+10* *Chips*</v>
      </c>
      <c r="D2" s="1" t="str">
        <f>IFERROR(__xludf.DUMMYFUNCTION("""COMPUTED_VALUE"""),"*High Card*")</f>
        <v>*High Card*</v>
      </c>
      <c r="E2" s="1" t="str">
        <f>IFERROR(__xludf.DUMMYFUNCTION("""COMPUTED_VALUE"""),"*1 Mult* x *5* *Chips*")</f>
        <v>*1 Mult* x *5* *Chips*</v>
      </c>
      <c r="F2" s="1" t="str">
        <f>IFERROR(__xludf.DUMMYFUNCTION("""COMPUTED_VALUE"""),"*Dwarf Planet*")</f>
        <v>*Dwarf Planet*</v>
      </c>
    </row>
    <row r="3">
      <c r="A3" s="1"/>
      <c r="B3" s="1" t="str">
        <f>IFERROR(__xludf.DUMMYFUNCTION("""COMPUTED_VALUE"""),"*Mercury*")</f>
        <v>*Mercury*</v>
      </c>
      <c r="C3" s="1" t="str">
        <f>IFERROR(__xludf.DUMMYFUNCTION("""COMPUTED_VALUE"""),"*+1 Mult* and *+15* *Chips*")</f>
        <v>*+1 Mult* and *+15* *Chips*</v>
      </c>
      <c r="D3" s="1" t="str">
        <f>IFERROR(__xludf.DUMMYFUNCTION("""COMPUTED_VALUE"""),"*Pair*")</f>
        <v>*Pair*</v>
      </c>
      <c r="E3" s="1" t="str">
        <f>IFERROR(__xludf.DUMMYFUNCTION("""COMPUTED_VALUE"""),"*2 Mult* x *10* *Chips*")</f>
        <v>*2 Mult* x *10* *Chips*</v>
      </c>
      <c r="F3" s="1" t="str">
        <f>IFERROR(__xludf.DUMMYFUNCTION("""COMPUTED_VALUE"""),"*Planet*")</f>
        <v>*Planet*</v>
      </c>
    </row>
    <row r="4">
      <c r="A4" s="1"/>
      <c r="B4" s="1" t="str">
        <f>IFERROR(__xludf.DUMMYFUNCTION("""COMPUTED_VALUE"""),"*Uranus*")</f>
        <v>*Uranus*</v>
      </c>
      <c r="C4" s="1" t="str">
        <f>IFERROR(__xludf.DUMMYFUNCTION("""COMPUTED_VALUE"""),"*+1 Mult* and *+20* *Chips*")</f>
        <v>*+1 Mult* and *+20* *Chips*</v>
      </c>
      <c r="D4" s="1" t="str">
        <f>IFERROR(__xludf.DUMMYFUNCTION("""COMPUTED_VALUE"""),"*Two Pair*")</f>
        <v>*Two Pair*</v>
      </c>
      <c r="E4" s="1" t="str">
        <f>IFERROR(__xludf.DUMMYFUNCTION("""COMPUTED_VALUE"""),"*2 Mult* x *20* *Chips*")</f>
        <v>*2 Mult* x *20* *Chips*</v>
      </c>
      <c r="F4" s="1" t="str">
        <f>IFERROR(__xludf.DUMMYFUNCTION("""COMPUTED_VALUE"""),"*Planet*")</f>
        <v>*Planet*</v>
      </c>
    </row>
    <row r="5">
      <c r="A5" s="1"/>
      <c r="B5" s="1" t="str">
        <f>IFERROR(__xludf.DUMMYFUNCTION("""COMPUTED_VALUE"""),"*Venus*")</f>
        <v>*Venus*</v>
      </c>
      <c r="C5" s="1" t="str">
        <f>IFERROR(__xludf.DUMMYFUNCTION("""COMPUTED_VALUE"""),"*+2 Mult* and *+20* *Chips*")</f>
        <v>*+2 Mult* and *+20* *Chips*</v>
      </c>
      <c r="D5" s="1" t="str">
        <f>IFERROR(__xludf.DUMMYFUNCTION("""COMPUTED_VALUE"""),"*Three of a Kind*")</f>
        <v>*Three of a Kind*</v>
      </c>
      <c r="E5" s="1" t="str">
        <f>IFERROR(__xludf.DUMMYFUNCTION("""COMPUTED_VALUE"""),"*3 Mult* x *30* *Chips*")</f>
        <v>*3 Mult* x *30* *Chips*</v>
      </c>
      <c r="F5" s="1" t="str">
        <f>IFERROR(__xludf.DUMMYFUNCTION("""COMPUTED_VALUE"""),"*Planet*")</f>
        <v>*Planet*</v>
      </c>
    </row>
    <row r="6">
      <c r="A6" s="1"/>
      <c r="B6" s="1" t="str">
        <f>IFERROR(__xludf.DUMMYFUNCTION("""COMPUTED_VALUE"""),"*Saturn*")</f>
        <v>*Saturn*</v>
      </c>
      <c r="C6" s="1" t="str">
        <f>IFERROR(__xludf.DUMMYFUNCTION("""COMPUTED_VALUE"""),"*+3 Mult* and *+30* *Chips*")</f>
        <v>*+3 Mult* and *+30* *Chips*</v>
      </c>
      <c r="D6" s="1" t="str">
        <f>IFERROR(__xludf.DUMMYFUNCTION("""COMPUTED_VALUE"""),"*Straight*")</f>
        <v>*Straight*</v>
      </c>
      <c r="E6" s="1" t="str">
        <f>IFERROR(__xludf.DUMMYFUNCTION("""COMPUTED_VALUE"""),"*4 Mult* x *30* *Chips*")</f>
        <v>*4 Mult* x *30* *Chips*</v>
      </c>
      <c r="F6" s="1" t="str">
        <f>IFERROR(__xludf.DUMMYFUNCTION("""COMPUTED_VALUE"""),"*Planet*")</f>
        <v>*Planet*</v>
      </c>
    </row>
    <row r="7">
      <c r="A7" s="1"/>
      <c r="B7" s="1" t="str">
        <f>IFERROR(__xludf.DUMMYFUNCTION("""COMPUTED_VALUE"""),"*Jupiter*")</f>
        <v>*Jupiter*</v>
      </c>
      <c r="C7" s="1" t="str">
        <f>IFERROR(__xludf.DUMMYFUNCTION("""COMPUTED_VALUE"""),"*+2 Mult* and *+15* *Chips*")</f>
        <v>*+2 Mult* and *+15* *Chips*</v>
      </c>
      <c r="D7" s="1" t="str">
        <f>IFERROR(__xludf.DUMMYFUNCTION("""COMPUTED_VALUE"""),"*Flush*")</f>
        <v>*Flush*</v>
      </c>
      <c r="E7" s="1" t="str">
        <f>IFERROR(__xludf.DUMMYFUNCTION("""COMPUTED_VALUE"""),"*4 Mult* x *35* *Chips*")</f>
        <v>*4 Mult* x *35* *Chips*</v>
      </c>
      <c r="F7" s="1" t="str">
        <f>IFERROR(__xludf.DUMMYFUNCTION("""COMPUTED_VALUE"""),"*Planet*")</f>
        <v>*Planet*</v>
      </c>
    </row>
    <row r="8">
      <c r="A8" s="1"/>
      <c r="B8" s="1" t="str">
        <f>IFERROR(__xludf.DUMMYFUNCTION("""COMPUTED_VALUE"""),"*Earth*")</f>
        <v>*Earth*</v>
      </c>
      <c r="C8" s="1" t="str">
        <f>IFERROR(__xludf.DUMMYFUNCTION("""COMPUTED_VALUE"""),"*+2 Mult* and *+25* *Chips*")</f>
        <v>*+2 Mult* and *+25* *Chips*</v>
      </c>
      <c r="D8" s="1" t="str">
        <f>IFERROR(__xludf.DUMMYFUNCTION("""COMPUTED_VALUE"""),"*Full House*")</f>
        <v>*Full House*</v>
      </c>
      <c r="E8" s="1" t="str">
        <f>IFERROR(__xludf.DUMMYFUNCTION("""COMPUTED_VALUE"""),"*4 Mult* x *40* *Chips*")</f>
        <v>*4 Mult* x *40* *Chips*</v>
      </c>
      <c r="F8" s="1" t="str">
        <f>IFERROR(__xludf.DUMMYFUNCTION("""COMPUTED_VALUE"""),"*Planet*")</f>
        <v>*Planet*</v>
      </c>
    </row>
    <row r="9">
      <c r="A9" s="1"/>
      <c r="B9" s="1" t="str">
        <f>IFERROR(__xludf.DUMMYFUNCTION("""COMPUTED_VALUE"""),"*Mars*")</f>
        <v>*Mars*</v>
      </c>
      <c r="C9" s="1" t="str">
        <f>IFERROR(__xludf.DUMMYFUNCTION("""COMPUTED_VALUE"""),"*+3 Mult* and *+30* *Chips*")</f>
        <v>*+3 Mult* and *+30* *Chips*</v>
      </c>
      <c r="D9" s="1" t="str">
        <f>IFERROR(__xludf.DUMMYFUNCTION("""COMPUTED_VALUE"""),"*Four of a Kind*")</f>
        <v>*Four of a Kind*</v>
      </c>
      <c r="E9" s="1" t="str">
        <f>IFERROR(__xludf.DUMMYFUNCTION("""COMPUTED_VALUE"""),"*7 Mult* x *60* *Chips*")</f>
        <v>*7 Mult* x *60* *Chips*</v>
      </c>
      <c r="F9" s="1" t="str">
        <f>IFERROR(__xludf.DUMMYFUNCTION("""COMPUTED_VALUE"""),"*Planet*")</f>
        <v>*Planet*</v>
      </c>
    </row>
    <row r="10">
      <c r="A10" s="1"/>
      <c r="B10" s="1" t="str">
        <f>IFERROR(__xludf.DUMMYFUNCTION("""COMPUTED_VALUE"""),"*Neptune*")</f>
        <v>*Neptune*</v>
      </c>
      <c r="C10" s="1" t="str">
        <f>IFERROR(__xludf.DUMMYFUNCTION("""COMPUTED_VALUE"""),"*+4 Mult* and *+40* *Chips*")</f>
        <v>*+4 Mult* and *+40* *Chips*</v>
      </c>
      <c r="D10" s="1" t="str">
        <f>IFERROR(__xludf.DUMMYFUNCTION("""COMPUTED_VALUE"""),"*Straight Flush*")</f>
        <v>*Straight Flush*</v>
      </c>
      <c r="E10" s="1" t="str">
        <f>IFERROR(__xludf.DUMMYFUNCTION("""COMPUTED_VALUE"""),"*8 Mult* x *100* *Chips*")</f>
        <v>*8 Mult* x *100* *Chips*</v>
      </c>
      <c r="F10" s="1" t="str">
        <f>IFERROR(__xludf.DUMMYFUNCTION("""COMPUTED_VALUE"""),"*Planet*")</f>
        <v>*Planet*</v>
      </c>
    </row>
    <row r="11">
      <c r="A11" s="1" t="str">
        <f>IFERROR(__xludf.DUMMYFUNCTION("""COMPUTED_VALUE"""),"*Secret Planets*")</f>
        <v>*Secret Planets*</v>
      </c>
      <c r="B11" s="1"/>
      <c r="C11" s="1"/>
      <c r="D11" s="1"/>
      <c r="E11" s="1"/>
      <c r="F11" s="1"/>
    </row>
    <row r="12">
      <c r="A12" s="1"/>
      <c r="B12" s="1" t="str">
        <f>IFERROR(__xludf.DUMMYFUNCTION("""COMPUTED_VALUE"""),"*Planet X*")</f>
        <v>*Planet X*</v>
      </c>
      <c r="C12" s="1" t="str">
        <f>IFERROR(__xludf.DUMMYFUNCTION("""COMPUTED_VALUE"""),"*+3 Mult* and *+35* *Chips*")</f>
        <v>*+3 Mult* and *+35* *Chips*</v>
      </c>
      <c r="D12" s="1" t="str">
        <f>IFERROR(__xludf.DUMMYFUNCTION("""COMPUTED_VALUE"""),"*Five of a Kind*")</f>
        <v>*Five of a Kind*</v>
      </c>
      <c r="E12" s="1" t="str">
        <f>IFERROR(__xludf.DUMMYFUNCTION("""COMPUTED_VALUE"""),"*12 Mult* x *120* *Chips*")</f>
        <v>*12 Mult* x *120* *Chips*</v>
      </c>
      <c r="F12" s="1" t="str">
        <f>IFERROR(__xludf.DUMMYFUNCTION("""COMPUTED_VALUE"""),"*Planet?*")</f>
        <v>*Planet?*</v>
      </c>
    </row>
    <row r="13">
      <c r="A13" s="1"/>
      <c r="B13" s="1" t="str">
        <f>IFERROR(__xludf.DUMMYFUNCTION("""COMPUTED_VALUE"""),"*Ceres*")</f>
        <v>*Ceres*</v>
      </c>
      <c r="C13" s="1" t="str">
        <f>IFERROR(__xludf.DUMMYFUNCTION("""COMPUTED_VALUE"""),"*+4 Mult* and *+40* *Chips*")</f>
        <v>*+4 Mult* and *+40* *Chips*</v>
      </c>
      <c r="D13" s="1" t="str">
        <f>IFERROR(__xludf.DUMMYFUNCTION("""COMPUTED_VALUE"""),"*Flush House*")</f>
        <v>*Flush House*</v>
      </c>
      <c r="E13" s="1" t="str">
        <f>IFERROR(__xludf.DUMMYFUNCTION("""COMPUTED_VALUE"""),"*14 Mult* x *140* *Chips*")</f>
        <v>*14 Mult* x *140* *Chips*</v>
      </c>
      <c r="F13" s="1" t="str">
        <f>IFERROR(__xludf.DUMMYFUNCTION("""COMPUTED_VALUE"""),"*Dwarf Planet*")</f>
        <v>*Dwarf Planet*</v>
      </c>
    </row>
    <row r="14">
      <c r="A14" s="1"/>
      <c r="B14" s="1" t="str">
        <f>IFERROR(__xludf.DUMMYFUNCTION("""COMPUTED_VALUE"""),"*Eris*")</f>
        <v>*Eris*</v>
      </c>
      <c r="C14" s="1" t="str">
        <f>IFERROR(__xludf.DUMMYFUNCTION("""COMPUTED_VALUE"""),"*+3 Mult* and *+50* *Chips*")</f>
        <v>*+3 Mult* and *+50* *Chips*</v>
      </c>
      <c r="D14" s="1" t="str">
        <f>IFERROR(__xludf.DUMMYFUNCTION("""COMPUTED_VALUE"""),"*Flush Five*")</f>
        <v>*Flush Five*</v>
      </c>
      <c r="E14" s="1" t="str">
        <f>IFERROR(__xludf.DUMMYFUNCTION("""COMPUTED_VALUE"""),"*16 Mult* x *160* *Chips*")</f>
        <v>*16 Mult* x *160* *Chips*</v>
      </c>
      <c r="F14" s="1" t="str">
        <f>IFERROR(__xludf.DUMMYFUNCTION("""COMPUTED_VALUE"""),"*Dwarf Planet*")</f>
        <v>*Dwarf Planet*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IFERROR(__xludf.DUMMYFUNCTION("IMPORTHTML(""https://balatrogame.fandom.com/wiki/Spectral_Cards"", ""table"", 1)"),"Spectral Card")</f>
        <v>Spectral Card</v>
      </c>
      <c r="B1" s="1" t="str">
        <f>IFERROR(__xludf.DUMMYFUNCTION("""COMPUTED_VALUE"""),"Name")</f>
        <v>Name</v>
      </c>
      <c r="C1" s="1" t="str">
        <f>IFERROR(__xludf.DUMMYFUNCTION("""COMPUTED_VALUE"""),"Effect")</f>
        <v>Effect</v>
      </c>
    </row>
    <row r="2">
      <c r="A2" s="1"/>
      <c r="B2" s="1" t="str">
        <f>IFERROR(__xludf.DUMMYFUNCTION("""COMPUTED_VALUE"""),"*Familiar*")</f>
        <v>*Familiar*</v>
      </c>
      <c r="C2" s="1" t="str">
        <f>IFERROR(__xludf.DUMMYFUNCTION("""COMPUTED_VALUE"""),"Destroy *1* random card in your hand, but add *3* random *Enhanced**face 
cards* instead.")</f>
        <v>Destroy *1* random card in your hand, but add *3* random *Enhanced**face 
cards* instead.</v>
      </c>
    </row>
    <row r="3">
      <c r="A3" s="1"/>
      <c r="B3" s="1" t="str">
        <f>IFERROR(__xludf.DUMMYFUNCTION("""COMPUTED_VALUE"""),"*Grim*")</f>
        <v>*Grim*</v>
      </c>
      <c r="C3" s="1" t="str">
        <f>IFERROR(__xludf.DUMMYFUNCTION("""COMPUTED_VALUE"""),"Destroy *1* random card in your hand, but add *2* random *Enhanced**Aces* 
instead.")</f>
        <v>Destroy *1* random card in your hand, but add *2* random *Enhanced**Aces* 
instead.</v>
      </c>
    </row>
    <row r="4">
      <c r="A4" s="1"/>
      <c r="B4" s="1" t="str">
        <f>IFERROR(__xludf.DUMMYFUNCTION("""COMPUTED_VALUE"""),"*Incantation*")</f>
        <v>*Incantation*</v>
      </c>
      <c r="C4" s="1" t="str">
        <f>IFERROR(__xludf.DUMMYFUNCTION("""COMPUTED_VALUE"""),"Destroy *1* random card in your hand, but add *4* random *Enhanced**numbered 
cards* instead.")</f>
        <v>Destroy *1* random card in your hand, but add *4* random *Enhanced**numbered 
cards* instead.</v>
      </c>
    </row>
    <row r="5">
      <c r="A5" s="1"/>
      <c r="B5" s="1" t="str">
        <f>IFERROR(__xludf.DUMMYFUNCTION("""COMPUTED_VALUE"""),"*Talisman*")</f>
        <v>*Talisman*</v>
      </c>
      <c r="C5" s="1" t="str">
        <f>IFERROR(__xludf.DUMMYFUNCTION("""COMPUTED_VALUE"""),"Add a *Gold Seal* to *1* selected card.")</f>
        <v>Add a *Gold Seal* to *1* selected card.</v>
      </c>
    </row>
    <row r="6">
      <c r="A6" s="1"/>
      <c r="B6" s="1" t="str">
        <f>IFERROR(__xludf.DUMMYFUNCTION("""COMPUTED_VALUE"""),"*Aura*")</f>
        <v>*Aura*</v>
      </c>
      <c r="C6" s="1" t="str">
        <f>IFERROR(__xludf.DUMMYFUNCTION("""COMPUTED_VALUE"""),"Add Foil, Holographic, or Polychromeedition (determined at random) to *1* 
selected card in hand.")</f>
        <v>Add Foil, Holographic, or Polychromeedition (determined at random) to *1* 
selected card in hand.</v>
      </c>
    </row>
    <row r="7">
      <c r="A7" s="1"/>
      <c r="B7" s="1" t="str">
        <f>IFERROR(__xludf.DUMMYFUNCTION("""COMPUTED_VALUE"""),"*Wraith*")</f>
        <v>*Wraith*</v>
      </c>
      <c r="C7" s="1" t="str">
        <f>IFERROR(__xludf.DUMMYFUNCTION("""COMPUTED_VALUE"""),"Creates a random *Rare**Joker* (must have room), but sets money to *$0*.")</f>
        <v>Creates a random *Rare**Joker* (must have room), but sets money to *$0*.</v>
      </c>
    </row>
    <row r="8">
      <c r="A8" s="1"/>
      <c r="B8" s="1" t="str">
        <f>IFERROR(__xludf.DUMMYFUNCTION("""COMPUTED_VALUE"""),"*Sigil*")</f>
        <v>*Sigil*</v>
      </c>
      <c r="C8" s="1" t="str">
        <f>IFERROR(__xludf.DUMMYFUNCTION("""COMPUTED_VALUE"""),"Converts all cards in hand to a single random suit.")</f>
        <v>Converts all cards in hand to a single random suit.</v>
      </c>
    </row>
    <row r="9">
      <c r="A9" s="1"/>
      <c r="B9" s="1" t="str">
        <f>IFERROR(__xludf.DUMMYFUNCTION("""COMPUTED_VALUE"""),"*Ouija*")</f>
        <v>*Ouija*</v>
      </c>
      <c r="C9" s="1" t="str">
        <f>IFERROR(__xludf.DUMMYFUNCTION("""COMPUTED_VALUE"""),"Converts all cards in hand to a single random rank, but *-1*Hand Size.")</f>
        <v>Converts all cards in hand to a single random rank, but *-1*Hand Size.</v>
      </c>
    </row>
    <row r="10">
      <c r="A10" s="1"/>
      <c r="B10" s="1" t="str">
        <f>IFERROR(__xludf.DUMMYFUNCTION("""COMPUTED_VALUE"""),"*Ectoplasm*")</f>
        <v>*Ectoplasm*</v>
      </c>
      <c r="C10" s="1" t="str">
        <f>IFERROR(__xludf.DUMMYFUNCTION("""COMPUTED_VALUE"""),"Add Negative to a random *Joker*, but *-1*Hand Size, plus another *-1* hand 
size for each time Ectoplasm has been used this run, e.g. using Ectoplasm 3 
times in the same run decreases hand size by a total of 6 (1+2+3)")</f>
        <v>Add Negative to a random *Joker*, but *-1*Hand Size, plus another *-1* hand 
size for each time Ectoplasm has been used this run, e.g. using Ectoplasm 3 
times in the same run decreases hand size by a total of 6 (1+2+3)</v>
      </c>
    </row>
    <row r="11">
      <c r="A11" s="1"/>
      <c r="B11" s="1" t="str">
        <f>IFERROR(__xludf.DUMMYFUNCTION("""COMPUTED_VALUE"""),"*Immolate*")</f>
        <v>*Immolate*</v>
      </c>
      <c r="C11" s="1" t="str">
        <f>IFERROR(__xludf.DUMMYFUNCTION("""COMPUTED_VALUE"""),"Destroys *5* random cards in hand, but gain *$20*.")</f>
        <v>Destroys *5* random cards in hand, but gain *$20*.</v>
      </c>
    </row>
    <row r="12">
      <c r="A12" s="1"/>
      <c r="B12" s="1" t="str">
        <f>IFERROR(__xludf.DUMMYFUNCTION("""COMPUTED_VALUE"""),"*Ankh*")</f>
        <v>*Ankh*</v>
      </c>
      <c r="C12" s="1" t="str">
        <f>IFERROR(__xludf.DUMMYFUNCTION("""COMPUTED_VALUE"""),"Creates a copy of 1 of your Jokers at random, then destroys the others, 
leaving you with two identical Jokers. (Editions are also copied, except 
Negative)")</f>
        <v>Creates a copy of 1 of your Jokers at random, then destroys the others, 
leaving you with two identical Jokers. (Editions are also copied, except 
Negative)</v>
      </c>
    </row>
    <row r="13">
      <c r="A13" s="1"/>
      <c r="B13" s="1" t="str">
        <f>IFERROR(__xludf.DUMMYFUNCTION("""COMPUTED_VALUE"""),"*Deja Vu*")</f>
        <v>*Deja Vu*</v>
      </c>
      <c r="C13" s="1" t="str">
        <f>IFERROR(__xludf.DUMMYFUNCTION("""COMPUTED_VALUE"""),"Adds a *Red Seal* to *1* selected card.")</f>
        <v>Adds a *Red Seal* to *1* selected card.</v>
      </c>
    </row>
    <row r="14">
      <c r="A14" s="1"/>
      <c r="B14" s="1" t="str">
        <f>IFERROR(__xludf.DUMMYFUNCTION("""COMPUTED_VALUE"""),"*Hex*")</f>
        <v>*Hex*</v>
      </c>
      <c r="C14" s="1" t="str">
        <f>IFERROR(__xludf.DUMMYFUNCTION("""COMPUTED_VALUE"""),"Adds Polychrome to a random *Joker*, and destroys the rest.")</f>
        <v>Adds Polychrome to a random *Joker*, and destroys the rest.</v>
      </c>
    </row>
    <row r="15">
      <c r="A15" s="1"/>
      <c r="B15" s="1" t="str">
        <f>IFERROR(__xludf.DUMMYFUNCTION("""COMPUTED_VALUE"""),"*Trance*")</f>
        <v>*Trance*</v>
      </c>
      <c r="C15" s="1" t="str">
        <f>IFERROR(__xludf.DUMMYFUNCTION("""COMPUTED_VALUE"""),"Adds a *Blue Seal* to 1 selected card.")</f>
        <v>Adds a *Blue Seal* to 1 selected card.</v>
      </c>
    </row>
    <row r="16">
      <c r="A16" s="1"/>
      <c r="B16" s="1" t="str">
        <f>IFERROR(__xludf.DUMMYFUNCTION("""COMPUTED_VALUE"""),"*Medium*")</f>
        <v>*Medium*</v>
      </c>
      <c r="C16" s="1" t="str">
        <f>IFERROR(__xludf.DUMMYFUNCTION("""COMPUTED_VALUE"""),"Adds a *Purple Seal* to 1 selected card.")</f>
        <v>Adds a *Purple Seal* to 1 selected card.</v>
      </c>
    </row>
    <row r="17">
      <c r="A17" s="1"/>
      <c r="B17" s="1" t="str">
        <f>IFERROR(__xludf.DUMMYFUNCTION("""COMPUTED_VALUE"""),"*Cryptid*")</f>
        <v>*Cryptid*</v>
      </c>
      <c r="C17" s="1" t="str">
        <f>IFERROR(__xludf.DUMMYFUNCTION("""COMPUTED_VALUE"""),"Creates 2 exact copies (including Enhancements, Editions and Seals) of a 
selected card in your hand.")</f>
        <v>Creates 2 exact copies (including Enhancements, Editions and Seals) of a 
selected card in your hand.</v>
      </c>
    </row>
    <row r="18">
      <c r="A18" s="1"/>
      <c r="B18" s="1" t="str">
        <f>IFERROR(__xludf.DUMMYFUNCTION("""COMPUTED_VALUE"""),"*The Soul*")</f>
        <v>*The Soul*</v>
      </c>
      <c r="C18" s="1" t="str">
        <f>IFERROR(__xludf.DUMMYFUNCTION("""COMPUTED_VALUE"""),"Creates a *Legendary* Joker.
*(Must have room)*
*Artwork: This card is animated, with the gem beating like a heart, or 
perhaps something inside is trying to break out...*")</f>
        <v>Creates a *Legendary* Joker.
*(Must have room)*
*Artwork: This card is animated, with the gem beating like a heart, or 
perhaps something inside is trying to break out...*</v>
      </c>
    </row>
    <row r="19">
      <c r="A19" s="1"/>
      <c r="B19" s="1" t="str">
        <f>IFERROR(__xludf.DUMMYFUNCTION("""COMPUTED_VALUE"""),"*Black Hole*")</f>
        <v>*Black Hole*</v>
      </c>
      <c r="C19" s="1" t="str">
        <f>IFERROR(__xludf.DUMMYFUNCTION("""COMPUTED_VALUE"""),"Upgrades every poker hand (including secret hands not yet discovered) by 
one level.")</f>
        <v>Upgrades every poker hand (including secret hands not yet discovered) by 
one level.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58.88"/>
    <col customWidth="1" min="3" max="3" width="14.88"/>
    <col customWidth="1" min="4" max="4" width="54.5"/>
    <col customWidth="1" min="5" max="5" width="51.75"/>
    <col customWidth="1" min="6" max="6" width="57.63"/>
  </cols>
  <sheetData>
    <row r="1">
      <c r="A1" s="1" t="str">
        <f>IFERROR(__xludf.DUMMYFUNCTION("IMPORTHTML(""https://balatrogame.fandom.com/wiki/Vouchers"", ""table"", 1)"),"Base Voucher")</f>
        <v>Base Voucher</v>
      </c>
      <c r="B1" s="1"/>
      <c r="C1" s="1" t="str">
        <f>IFERROR(__xludf.DUMMYFUNCTION("""COMPUTED_VALUE"""),"Upgraded Voucher")</f>
        <v>Upgraded Voucher</v>
      </c>
      <c r="D1" s="1"/>
      <c r="E1" s="1"/>
      <c r="F1" s="1" t="str">
        <f>IFERROR(__xludf.DUMMYFUNCTION("""COMPUTED_VALUE"""),"Note(s)")</f>
        <v>Note(s)</v>
      </c>
    </row>
    <row r="2">
      <c r="A2" s="1" t="str">
        <f>IFERROR(__xludf.DUMMYFUNCTION("""COMPUTED_VALUE"""),"Name")</f>
        <v>Name</v>
      </c>
      <c r="B2" s="1" t="str">
        <f>IFERROR(__xludf.DUMMYFUNCTION("""COMPUTED_VALUE"""),"Effect")</f>
        <v>Effect</v>
      </c>
      <c r="C2" s="1" t="str">
        <f>IFERROR(__xludf.DUMMYFUNCTION("""COMPUTED_VALUE"""),"Name")</f>
        <v>Name</v>
      </c>
      <c r="D2" s="1" t="str">
        <f>IFERROR(__xludf.DUMMYFUNCTION("""COMPUTED_VALUE"""),"Effect")</f>
        <v>Effect</v>
      </c>
      <c r="E2" s="1" t="str">
        <f>IFERROR(__xludf.DUMMYFUNCTION("""COMPUTED_VALUE"""),"Unlock condition")</f>
        <v>Unlock condition</v>
      </c>
      <c r="F2" s="1"/>
    </row>
    <row r="3">
      <c r="A3" s="1" t="str">
        <f>IFERROR(__xludf.DUMMYFUNCTION("""COMPUTED_VALUE"""),"Overstock")</f>
        <v>Overstock</v>
      </c>
      <c r="B3" s="1" t="str">
        <f>IFERROR(__xludf.DUMMYFUNCTION("""COMPUTED_VALUE"""),"*+1* card slot available in shop (to 3 slots)")</f>
        <v>*+1* card slot available in shop (to 3 slots)</v>
      </c>
      <c r="C3" s="1" t="str">
        <f>IFERROR(__xludf.DUMMYFUNCTION("""COMPUTED_VALUE"""),"Overstock Plus")</f>
        <v>Overstock Plus</v>
      </c>
      <c r="D3" s="1" t="str">
        <f>IFERROR(__xludf.DUMMYFUNCTION("""COMPUTED_VALUE"""),"*+1* card slot available in shop (to 4 slots)")</f>
        <v>*+1* card slot available in shop (to 4 slots)</v>
      </c>
      <c r="E3" s="1" t="str">
        <f>IFERROR(__xludf.DUMMYFUNCTION("""COMPUTED_VALUE"""),"Spend a total of $2500 at the shop")</f>
        <v>Spend a total of $2500 at the shop</v>
      </c>
      <c r="F3" s="1" t="str">
        <f>IFERROR(__xludf.DUMMYFUNCTION("""COMPUTED_VALUE"""),"Also immediately restocks any empty card slots in the Shop when purchased")</f>
        <v>Also immediately restocks any empty card slots in the Shop when purchased</v>
      </c>
    </row>
    <row r="4">
      <c r="A4" s="1" t="str">
        <f>IFERROR(__xludf.DUMMYFUNCTION("""COMPUTED_VALUE"""),"Clearance Sale")</f>
        <v>Clearance Sale</v>
      </c>
      <c r="B4" s="1" t="str">
        <f>IFERROR(__xludf.DUMMYFUNCTION("""COMPUTED_VALUE"""),"All cards and packs in shop are *25%* off")</f>
        <v>All cards and packs in shop are *25%* off</v>
      </c>
      <c r="C4" s="1" t="str">
        <f>IFERROR(__xludf.DUMMYFUNCTION("""COMPUTED_VALUE"""),"Liquidation")</f>
        <v>Liquidation</v>
      </c>
      <c r="D4" s="1" t="str">
        <f>IFERROR(__xludf.DUMMYFUNCTION("""COMPUTED_VALUE"""),"All cards and packs in shop are *50%* off")</f>
        <v>All cards and packs in shop are *50%* off</v>
      </c>
      <c r="E4" s="1" t="str">
        <f>IFERROR(__xludf.DUMMYFUNCTION("""COMPUTED_VALUE"""),"Redeem at least 10 Voucher cards in one run")</f>
        <v>Redeem at least 10 Voucher cards in one run</v>
      </c>
      <c r="F4" s="1" t="str">
        <f>IFERROR(__xludf.DUMMYFUNCTION("""COMPUTED_VALUE"""),"Also reduces the sell value of your present jokers
Prices are rounded half down")</f>
        <v>Also reduces the sell value of your present jokers
Prices are rounded half down</v>
      </c>
    </row>
    <row r="5">
      <c r="A5" s="1" t="str">
        <f>IFERROR(__xludf.DUMMYFUNCTION("""COMPUTED_VALUE"""),"Hone")</f>
        <v>Hone</v>
      </c>
      <c r="B5" s="1" t="str">
        <f>IFERROR(__xludf.DUMMYFUNCTION("""COMPUTED_VALUE"""),"Foil, Holographic, and Polychrome cards appear *2x* more often")</f>
        <v>Foil, Holographic, and Polychrome cards appear *2x* more often</v>
      </c>
      <c r="C5" s="1" t="str">
        <f>IFERROR(__xludf.DUMMYFUNCTION("""COMPUTED_VALUE"""),"Glow Up")</f>
        <v>Glow Up</v>
      </c>
      <c r="D5" s="1" t="str">
        <f>IFERROR(__xludf.DUMMYFUNCTION("""COMPUTED_VALUE"""),"Foil, Holographic, and Polychrome cards appear *4x* more often")</f>
        <v>Foil, Holographic, and Polychrome cards appear *4x* more often</v>
      </c>
      <c r="E5" s="1" t="str">
        <f>IFERROR(__xludf.DUMMYFUNCTION("""COMPUTED_VALUE"""),"Have at least 5 Joker cards with Foil, Holographic, or Polychrome (or 
Negative) effect")</f>
        <v>Have at least 5 Joker cards with Foil, Holographic, or Polychrome (or 
Negative) effect</v>
      </c>
      <c r="F5" s="1" t="str">
        <f>IFERROR(__xludf.DUMMYFUNCTION("""COMPUTED_VALUE"""),"Polychrome on Jokers actually appears 3x more often for Hone and 7x more 
often for Glow Up")</f>
        <v>Polychrome on Jokers actually appears 3x more often for Hone and 7x more 
often for Glow Up</v>
      </c>
    </row>
    <row r="6">
      <c r="A6" s="1" t="str">
        <f>IFERROR(__xludf.DUMMYFUNCTION("""COMPUTED_VALUE"""),"Reroll Surplus")</f>
        <v>Reroll Surplus</v>
      </c>
      <c r="B6" s="1" t="str">
        <f>IFERROR(__xludf.DUMMYFUNCTION("""COMPUTED_VALUE"""),"Rerolls cost *$2* less")</f>
        <v>Rerolls cost *$2* less</v>
      </c>
      <c r="C6" s="1" t="str">
        <f>IFERROR(__xludf.DUMMYFUNCTION("""COMPUTED_VALUE"""),"Reroll Glut")</f>
        <v>Reroll Glut</v>
      </c>
      <c r="D6" s="1" t="str">
        <f>IFERROR(__xludf.DUMMYFUNCTION("""COMPUTED_VALUE"""),"Rerolls cost an additional *$2* less")</f>
        <v>Rerolls cost an additional *$2* less</v>
      </c>
      <c r="E6" s="1" t="str">
        <f>IFERROR(__xludf.DUMMYFUNCTION("""COMPUTED_VALUE"""),"Reroll the shop a total of 100 times")</f>
        <v>Reroll the shop a total of 100 times</v>
      </c>
      <c r="F6" s="1"/>
    </row>
    <row r="7">
      <c r="A7" s="1" t="str">
        <f>IFERROR(__xludf.DUMMYFUNCTION("""COMPUTED_VALUE"""),"Crystal Ball")</f>
        <v>Crystal Ball</v>
      </c>
      <c r="B7" s="1" t="str">
        <f>IFERROR(__xludf.DUMMYFUNCTION("""COMPUTED_VALUE"""),"*+1* consumable slot")</f>
        <v>*+1* consumable slot</v>
      </c>
      <c r="C7" s="1" t="str">
        <f>IFERROR(__xludf.DUMMYFUNCTION("""COMPUTED_VALUE"""),"Omen Globe")</f>
        <v>Omen Globe</v>
      </c>
      <c r="D7" s="1" t="str">
        <f>IFERROR(__xludf.DUMMYFUNCTION("""COMPUTED_VALUE"""),"*Spectral* cards may appear in any of the *Arcana Packs*")</f>
        <v>*Spectral* cards may appear in any of the *Arcana Packs*</v>
      </c>
      <c r="E7" s="1" t="str">
        <f>IFERROR(__xludf.DUMMYFUNCTION("""COMPUTED_VALUE"""),"Use a total of 25 Tarot cards from booster packs")</f>
        <v>Use a total of 25 Tarot cards from booster packs</v>
      </c>
      <c r="F7" s="1" t="str">
        <f>IFERROR(__xludf.DUMMYFUNCTION("""COMPUTED_VALUE"""),"Omen Globe has a 20% individual chance to replace the Tarot card with a 
Spectral card for every card in the Arcana Pack")</f>
        <v>Omen Globe has a 20% individual chance to replace the Tarot card with a 
Spectral card for every card in the Arcana Pack</v>
      </c>
    </row>
    <row r="8">
      <c r="A8" s="1" t="str">
        <f>IFERROR(__xludf.DUMMYFUNCTION("""COMPUTED_VALUE"""),"Telescope")</f>
        <v>Telescope</v>
      </c>
      <c r="B8" s="1" t="str">
        <f>IFERROR(__xludf.DUMMYFUNCTION("""COMPUTED_VALUE"""),"*Celestial Packs* always contain the *Planet* card for your most played *poker 
hand*")</f>
        <v>*Celestial Packs* always contain the *Planet* card for your most played *poker 
hand*</v>
      </c>
      <c r="C8" s="1" t="str">
        <f>IFERROR(__xludf.DUMMYFUNCTION("""COMPUTED_VALUE"""),"Observatory")</f>
        <v>Observatory</v>
      </c>
      <c r="D8" s="1" t="str">
        <f>IFERROR(__xludf.DUMMYFUNCTION("""COMPUTED_VALUE"""),"*Planet* cards in your *consumable* area give *X1.5 Mult* for their 
specified *poker hand*")</f>
        <v>*Planet* cards in your *consumable* area give *X1.5 Mult* for their 
specified *poker hand*</v>
      </c>
      <c r="E8" s="1" t="str">
        <f>IFERROR(__xludf.DUMMYFUNCTION("""COMPUTED_VALUE"""),"Use a total of 25 Planet cards from booster packs")</f>
        <v>Use a total of 25 Planet cards from booster packs</v>
      </c>
      <c r="F8" s="1" t="str">
        <f>IFERROR(__xludf.DUMMYFUNCTION("""COMPUTED_VALUE"""),"Telescope picks the higher tier hand in case of multiple most played hands")</f>
        <v>Telescope picks the higher tier hand in case of multiple most played hands</v>
      </c>
    </row>
    <row r="9">
      <c r="A9" s="1" t="str">
        <f>IFERROR(__xludf.DUMMYFUNCTION("""COMPUTED_VALUE"""),"Grabber")</f>
        <v>Grabber</v>
      </c>
      <c r="B9" s="1" t="str">
        <f>IFERROR(__xludf.DUMMYFUNCTION("""COMPUTED_VALUE"""),"Permanently gain *+1* hand per round")</f>
        <v>Permanently gain *+1* hand per round</v>
      </c>
      <c r="C9" s="1" t="str">
        <f>IFERROR(__xludf.DUMMYFUNCTION("""COMPUTED_VALUE"""),"Nacho Tong")</f>
        <v>Nacho Tong</v>
      </c>
      <c r="D9" s="1" t="str">
        <f>IFERROR(__xludf.DUMMYFUNCTION("""COMPUTED_VALUE"""),"Permanently gain an additional *+1* hand per round")</f>
        <v>Permanently gain an additional *+1* hand per round</v>
      </c>
      <c r="E9" s="1" t="str">
        <f>IFERROR(__xludf.DUMMYFUNCTION("""COMPUTED_VALUE"""),"Play a total of 2500 cards")</f>
        <v>Play a total of 2500 cards</v>
      </c>
      <c r="F9" s="1"/>
    </row>
    <row r="10">
      <c r="A10" s="1" t="str">
        <f>IFERROR(__xludf.DUMMYFUNCTION("""COMPUTED_VALUE"""),"Wasteful")</f>
        <v>Wasteful</v>
      </c>
      <c r="B10" s="1" t="str">
        <f>IFERROR(__xludf.DUMMYFUNCTION("""COMPUTED_VALUE"""),"Permanently gain *+1* discard each round")</f>
        <v>Permanently gain *+1* discard each round</v>
      </c>
      <c r="C10" s="1" t="str">
        <f>IFERROR(__xludf.DUMMYFUNCTION("""COMPUTED_VALUE"""),"Recyclomancy")</f>
        <v>Recyclomancy</v>
      </c>
      <c r="D10" s="1" t="str">
        <f>IFERROR(__xludf.DUMMYFUNCTION("""COMPUTED_VALUE"""),"Permanently gain an additional *+1* discard each round")</f>
        <v>Permanently gain an additional *+1* discard each round</v>
      </c>
      <c r="E10" s="1" t="str">
        <f>IFERROR(__xludf.DUMMYFUNCTION("""COMPUTED_VALUE"""),"Discard a total of 2500 cards")</f>
        <v>Discard a total of 2500 cards</v>
      </c>
      <c r="F10" s="1"/>
    </row>
    <row r="11">
      <c r="A11" s="1" t="str">
        <f>IFERROR(__xludf.DUMMYFUNCTION("""COMPUTED_VALUE"""),"Tarot Merchant")</f>
        <v>Tarot Merchant</v>
      </c>
      <c r="B11" s="1" t="str">
        <f>IFERROR(__xludf.DUMMYFUNCTION("""COMPUTED_VALUE"""),"*Tarot* cards appear *2X* more frequently in the shop")</f>
        <v>*Tarot* cards appear *2X* more frequently in the shop</v>
      </c>
      <c r="C11" s="1" t="str">
        <f>IFERROR(__xludf.DUMMYFUNCTION("""COMPUTED_VALUE"""),"Tarot Tycoon")</f>
        <v>Tarot Tycoon</v>
      </c>
      <c r="D11" s="1" t="str">
        <f>IFERROR(__xludf.DUMMYFUNCTION("""COMPUTED_VALUE"""),"*Tarot* cards appear *4X* more frequently in the shop")</f>
        <v>*Tarot* cards appear *4X* more frequently in the shop</v>
      </c>
      <c r="E11" s="1" t="str">
        <f>IFERROR(__xludf.DUMMYFUNCTION("""COMPUTED_VALUE"""),"Buy a total of 50 Tarot cards from the shop")</f>
        <v>Buy a total of 50 Tarot cards from the shop</v>
      </c>
      <c r="F11" s="1" t="str">
        <f>IFERROR(__xludf.DUMMYFUNCTION("""COMPUTED_VALUE"""),"For details, see The Shop#Vouchers")</f>
        <v>For details, see The Shop#Vouchers</v>
      </c>
    </row>
    <row r="12">
      <c r="A12" s="1" t="str">
        <f>IFERROR(__xludf.DUMMYFUNCTION("""COMPUTED_VALUE"""),"Planet Merchant")</f>
        <v>Planet Merchant</v>
      </c>
      <c r="B12" s="1" t="str">
        <f>IFERROR(__xludf.DUMMYFUNCTION("""COMPUTED_VALUE"""),"*Planet* cards appear *2X* more frequently in the shop")</f>
        <v>*Planet* cards appear *2X* more frequently in the shop</v>
      </c>
      <c r="C12" s="1" t="str">
        <f>IFERROR(__xludf.DUMMYFUNCTION("""COMPUTED_VALUE"""),"Planet Tycoon")</f>
        <v>Planet Tycoon</v>
      </c>
      <c r="D12" s="1" t="str">
        <f>IFERROR(__xludf.DUMMYFUNCTION("""COMPUTED_VALUE"""),"*Planet* cards appear *4X* more frequently in the shop")</f>
        <v>*Planet* cards appear *4X* more frequently in the shop</v>
      </c>
      <c r="E12" s="1" t="str">
        <f>IFERROR(__xludf.DUMMYFUNCTION("""COMPUTED_VALUE"""),"Buy a total of 50 Planet cards from the shop")</f>
        <v>Buy a total of 50 Planet cards from the shop</v>
      </c>
      <c r="F12" s="1" t="str">
        <f>IFERROR(__xludf.DUMMYFUNCTION("""COMPUTED_VALUE"""),"For details, see The Shop#Vouchers")</f>
        <v>For details, see The Shop#Vouchers</v>
      </c>
    </row>
    <row r="13">
      <c r="A13" s="1" t="str">
        <f>IFERROR(__xludf.DUMMYFUNCTION("""COMPUTED_VALUE"""),"Seed Money")</f>
        <v>Seed Money</v>
      </c>
      <c r="B13" s="1" t="str">
        <f>IFERROR(__xludf.DUMMYFUNCTION("""COMPUTED_VALUE"""),"Raise the cap on interest earned in each round to *$10*")</f>
        <v>Raise the cap on interest earned in each round to *$10*</v>
      </c>
      <c r="C13" s="1" t="str">
        <f>IFERROR(__xludf.DUMMYFUNCTION("""COMPUTED_VALUE"""),"Money Tree")</f>
        <v>Money Tree</v>
      </c>
      <c r="D13" s="1" t="str">
        <f>IFERROR(__xludf.DUMMYFUNCTION("""COMPUTED_VALUE"""),"Raise the cap on interest earned in each round to *$20*")</f>
        <v>Raise the cap on interest earned in each round to *$20*</v>
      </c>
      <c r="E13" s="1" t="str">
        <f>IFERROR(__xludf.DUMMYFUNCTION("""COMPUTED_VALUE"""),"Max out the interest per round earnings for ten consecutive rounds")</f>
        <v>Max out the interest per round earnings for ten consecutive rounds</v>
      </c>
      <c r="F13" s="1" t="str">
        <f>IFERROR(__xludf.DUMMYFUNCTION("""COMPUTED_VALUE"""),"Does nothing when playing the Green Deck.")</f>
        <v>Does nothing when playing the Green Deck.</v>
      </c>
    </row>
    <row r="14">
      <c r="A14" s="1" t="str">
        <f>IFERROR(__xludf.DUMMYFUNCTION("""COMPUTED_VALUE"""),"Blank")</f>
        <v>Blank</v>
      </c>
      <c r="B14" s="1" t="str">
        <f>IFERROR(__xludf.DUMMYFUNCTION("""COMPUTED_VALUE"""),"*Does nothing?*")</f>
        <v>*Does nothing?*</v>
      </c>
      <c r="C14" s="1" t="str">
        <f>IFERROR(__xludf.DUMMYFUNCTION("""COMPUTED_VALUE"""),"Antimatter")</f>
        <v>Antimatter</v>
      </c>
      <c r="D14" s="1" t="str">
        <f>IFERROR(__xludf.DUMMYFUNCTION("""COMPUTED_VALUE"""),"*+1* Joker slot")</f>
        <v>*+1* Joker slot</v>
      </c>
      <c r="E14" s="1" t="str">
        <f>IFERROR(__xludf.DUMMYFUNCTION("""COMPUTED_VALUE"""),"Redeem Blank 10 total times")</f>
        <v>Redeem Blank 10 total times</v>
      </c>
      <c r="F14" s="1" t="str">
        <f>IFERROR(__xludf.DUMMYFUNCTION("""COMPUTED_VALUE"""),"The Antimatter Voucher is always displayed in game as if it was a negative 
edition and applies the same effect as negative Jokers")</f>
        <v>The Antimatter Voucher is always displayed in game as if it was a negative 
edition and applies the same effect as negative Jokers</v>
      </c>
    </row>
    <row r="15">
      <c r="A15" s="1" t="str">
        <f>IFERROR(__xludf.DUMMYFUNCTION("""COMPUTED_VALUE"""),"Magic Trick")</f>
        <v>Magic Trick</v>
      </c>
      <c r="B15" s="1" t="str">
        <f>IFERROR(__xludf.DUMMYFUNCTION("""COMPUTED_VALUE"""),"*Playing cards* can be purchased from the *shop*")</f>
        <v>*Playing cards* can be purchased from the *shop*</v>
      </c>
      <c r="C15" s="1" t="str">
        <f>IFERROR(__xludf.DUMMYFUNCTION("""COMPUTED_VALUE"""),"Illusion")</f>
        <v>Illusion</v>
      </c>
      <c r="D15" s="1" t="str">
        <f>IFERROR(__xludf.DUMMYFUNCTION("""COMPUTED_VALUE"""),"*Playing cards* in shop may have an *Enhancement*, *Edition*, and/or a 
*Seal*")</f>
        <v>*Playing cards* in shop may have an *Enhancement*, *Edition*, and/or a 
*Seal*</v>
      </c>
      <c r="E15" s="1" t="str">
        <f>IFERROR(__xludf.DUMMYFUNCTION("""COMPUTED_VALUE"""),"Buy a total of 20 Playing cards from the shop")</f>
        <v>Buy a total of 20 Playing cards from the shop</v>
      </c>
      <c r="F15" s="1" t="str">
        <f>IFERROR(__xludf.DUMMYFUNCTION("""COMPUTED_VALUE"""),"Illusion is currently (v1.0.1o-FULL) bugged, and cards in the shop cannot 
have seals, only enhancements and/or editions, and is unaffected by 
Hone/Glow Up.")</f>
        <v>Illusion is currently (v1.0.1o-FULL) bugged, and cards in the shop cannot 
have seals, only enhancements and/or editions, and is unaffected by 
Hone/Glow Up.</v>
      </c>
    </row>
    <row r="16">
      <c r="A16" s="1" t="str">
        <f>IFERROR(__xludf.DUMMYFUNCTION("""COMPUTED_VALUE"""),"Hieroglyph")</f>
        <v>Hieroglyph</v>
      </c>
      <c r="B16" s="1" t="str">
        <f>IFERROR(__xludf.DUMMYFUNCTION("""COMPUTED_VALUE"""),"*-1* Ante, 
*-1* hand each round")</f>
        <v>*-1* Ante, 
*-1* hand each round</v>
      </c>
      <c r="C16" s="1" t="str">
        <f>IFERROR(__xludf.DUMMYFUNCTION("""COMPUTED_VALUE"""),"Petroglyph")</f>
        <v>Petroglyph</v>
      </c>
      <c r="D16" s="1" t="str">
        <f>IFERROR(__xludf.DUMMYFUNCTION("""COMPUTED_VALUE"""),"*-1* Ante, 
*-1* discard each round")</f>
        <v>*-1* Ante, 
*-1* discard each round</v>
      </c>
      <c r="E16" s="1" t="str">
        <f>IFERROR(__xludf.DUMMYFUNCTION("""COMPUTED_VALUE"""),"Reach Ante level 12")</f>
        <v>Reach Ante level 12</v>
      </c>
      <c r="F16" s="1"/>
    </row>
    <row r="17">
      <c r="A17" s="1" t="str">
        <f>IFERROR(__xludf.DUMMYFUNCTION("""COMPUTED_VALUE"""),"Director's Cut")</f>
        <v>Director's Cut</v>
      </c>
      <c r="B17" s="1" t="str">
        <f>IFERROR(__xludf.DUMMYFUNCTION("""COMPUTED_VALUE"""),"Reroll Boss Blind*1* time per Ante, *$10* per roll")</f>
        <v>Reroll Boss Blind*1* time per Ante, *$10* per roll</v>
      </c>
      <c r="C17" s="1" t="str">
        <f>IFERROR(__xludf.DUMMYFUNCTION("""COMPUTED_VALUE"""),"Retcon")</f>
        <v>Retcon</v>
      </c>
      <c r="D17" s="1" t="str">
        <f>IFERROR(__xludf.DUMMYFUNCTION("""COMPUTED_VALUE"""),"Reroll Boss Blind*unlimited* times, *$10* per roll")</f>
        <v>Reroll Boss Blind*unlimited* times, *$10* per roll</v>
      </c>
      <c r="E17" s="1" t="str">
        <f>IFERROR(__xludf.DUMMYFUNCTION("""COMPUTED_VALUE"""),"Discover 25 Blinds")</f>
        <v>Discover 25 Blinds</v>
      </c>
      <c r="F17" s="1"/>
    </row>
    <row r="18">
      <c r="A18" s="1" t="str">
        <f>IFERROR(__xludf.DUMMYFUNCTION("""COMPUTED_VALUE"""),"Paint Brush")</f>
        <v>Paint Brush</v>
      </c>
      <c r="B18" s="1" t="str">
        <f>IFERROR(__xludf.DUMMYFUNCTION("""COMPUTED_VALUE"""),"*+1*Hand Size")</f>
        <v>*+1*Hand Size</v>
      </c>
      <c r="C18" s="1" t="str">
        <f>IFERROR(__xludf.DUMMYFUNCTION("""COMPUTED_VALUE"""),"Palette")</f>
        <v>Palette</v>
      </c>
      <c r="D18" s="1" t="str">
        <f>IFERROR(__xludf.DUMMYFUNCTION("""COMPUTED_VALUE"""),"*+1*Hand Size again")</f>
        <v>*+1*Hand Size again</v>
      </c>
      <c r="E18" s="1" t="str">
        <f>IFERROR(__xludf.DUMMYFUNCTION("""COMPUTED_VALUE"""),"Reduce your hand size down to 5 cards")</f>
        <v>Reduce your hand size down to 5 cards</v>
      </c>
      <c r="F18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7.63"/>
    <col customWidth="1" min="3" max="3" width="7.25"/>
    <col customWidth="1" min="4" max="4" width="6.5"/>
  </cols>
  <sheetData>
    <row r="1">
      <c r="A1" s="1" t="str">
        <f>IFERROR(__xludf.DUMMYFUNCTION("IMPORTHTML(""https://balatrogame.fandom.com/wiki/Booster_Packs"", ""table"", 1)"),"Image(s)")</f>
        <v>Image(s)</v>
      </c>
      <c r="B1" s="1" t="str">
        <f>IFERROR(__xludf.DUMMYFUNCTION("""COMPUTED_VALUE"""),"Cost")</f>
        <v>Cost</v>
      </c>
      <c r="C1" s="1" t="str">
        <f>IFERROR(__xludf.DUMMYFUNCTION("""COMPUTED_VALUE"""),"Size")</f>
        <v>Size</v>
      </c>
      <c r="D1" s="1" t="str">
        <f>IFERROR(__xludf.DUMMYFUNCTION("""COMPUTED_VALUE"""),"Effect")</f>
        <v>Effect</v>
      </c>
    </row>
    <row r="2">
      <c r="A2" s="1" t="str">
        <f>IFERROR(__xludf.DUMMYFUNCTION("""COMPUTED_VALUE"""),"*Standard Packs*")</f>
        <v>*Standard Packs*</v>
      </c>
      <c r="B2" s="1"/>
      <c r="C2" s="1"/>
      <c r="D2" s="1"/>
    </row>
    <row r="3">
      <c r="A3" s="1"/>
      <c r="B3" s="1" t="str">
        <f>IFERROR(__xludf.DUMMYFUNCTION("""COMPUTED_VALUE"""),"*$4*")</f>
        <v>*$4*</v>
      </c>
      <c r="C3" s="1" t="str">
        <f>IFERROR(__xludf.DUMMYFUNCTION("""COMPUTED_VALUE"""),"Normal")</f>
        <v>Normal</v>
      </c>
      <c r="D3" s="1" t="str">
        <f>IFERROR(__xludf.DUMMYFUNCTION("""COMPUTED_VALUE"""),"Choose *1* of up to *3 Playing* cards to add to your deck")</f>
        <v>Choose *1* of up to *3 Playing* cards to add to your deck</v>
      </c>
    </row>
    <row r="4">
      <c r="A4" s="1"/>
      <c r="B4" s="1" t="str">
        <f>IFERROR(__xludf.DUMMYFUNCTION("""COMPUTED_VALUE"""),"*$6*")</f>
        <v>*$6*</v>
      </c>
      <c r="C4" s="1" t="str">
        <f>IFERROR(__xludf.DUMMYFUNCTION("""COMPUTED_VALUE"""),"Jumbo")</f>
        <v>Jumbo</v>
      </c>
      <c r="D4" s="1" t="str">
        <f>IFERROR(__xludf.DUMMYFUNCTION("""COMPUTED_VALUE"""),"Choose *1* of up to *5 Playing* cards to add to your deck")</f>
        <v>Choose *1* of up to *5 Playing* cards to add to your deck</v>
      </c>
    </row>
    <row r="5">
      <c r="A5" s="1"/>
      <c r="B5" s="1" t="str">
        <f>IFERROR(__xludf.DUMMYFUNCTION("""COMPUTED_VALUE"""),"*$8*")</f>
        <v>*$8*</v>
      </c>
      <c r="C5" s="1" t="str">
        <f>IFERROR(__xludf.DUMMYFUNCTION("""COMPUTED_VALUE"""),"Mega")</f>
        <v>Mega</v>
      </c>
      <c r="D5" s="1" t="str">
        <f>IFERROR(__xludf.DUMMYFUNCTION("""COMPUTED_VALUE"""),"Choose *2* of up to *5 Playing* cards to add to your deck")</f>
        <v>Choose *2* of up to *5 Playing* cards to add to your deck</v>
      </c>
    </row>
    <row r="6">
      <c r="A6" s="1" t="str">
        <f>IFERROR(__xludf.DUMMYFUNCTION("""COMPUTED_VALUE"""),"*Arcana Packs*")</f>
        <v>*Arcana Packs*</v>
      </c>
      <c r="B6" s="1"/>
      <c r="C6" s="1"/>
      <c r="D6" s="1"/>
    </row>
    <row r="7">
      <c r="A7" s="1"/>
      <c r="B7" s="1" t="str">
        <f>IFERROR(__xludf.DUMMYFUNCTION("""COMPUTED_VALUE"""),"*$4*")</f>
        <v>*$4*</v>
      </c>
      <c r="C7" s="1" t="str">
        <f>IFERROR(__xludf.DUMMYFUNCTION("""COMPUTED_VALUE"""),"Normal")</f>
        <v>Normal</v>
      </c>
      <c r="D7" s="1" t="str">
        <f>IFERROR(__xludf.DUMMYFUNCTION("""COMPUTED_VALUE"""),"Choose *1* of up to *3**Tarot* cards to be used immediately")</f>
        <v>Choose *1* of up to *3**Tarot* cards to be used immediately</v>
      </c>
    </row>
    <row r="8">
      <c r="A8" s="1"/>
      <c r="B8" s="1" t="str">
        <f>IFERROR(__xludf.DUMMYFUNCTION("""COMPUTED_VALUE"""),"*$6*")</f>
        <v>*$6*</v>
      </c>
      <c r="C8" s="1" t="str">
        <f>IFERROR(__xludf.DUMMYFUNCTION("""COMPUTED_VALUE"""),"Jumbo")</f>
        <v>Jumbo</v>
      </c>
      <c r="D8" s="1" t="str">
        <f>IFERROR(__xludf.DUMMYFUNCTION("""COMPUTED_VALUE"""),"Choose *1* of up to *5**Tarot* cards to be used immediately")</f>
        <v>Choose *1* of up to *5**Tarot* cards to be used immediately</v>
      </c>
    </row>
    <row r="9">
      <c r="A9" s="1"/>
      <c r="B9" s="1" t="str">
        <f>IFERROR(__xludf.DUMMYFUNCTION("""COMPUTED_VALUE"""),"*$8*")</f>
        <v>*$8*</v>
      </c>
      <c r="C9" s="1" t="str">
        <f>IFERROR(__xludf.DUMMYFUNCTION("""COMPUTED_VALUE"""),"Mega")</f>
        <v>Mega</v>
      </c>
      <c r="D9" s="1" t="str">
        <f>IFERROR(__xludf.DUMMYFUNCTION("""COMPUTED_VALUE"""),"Choose *2* of up to *5**Tarot* cards to be used immediately")</f>
        <v>Choose *2* of up to *5**Tarot* cards to be used immediately</v>
      </c>
    </row>
    <row r="10">
      <c r="A10" s="1" t="str">
        <f>IFERROR(__xludf.DUMMYFUNCTION("""COMPUTED_VALUE"""),"*Celestial Packs*")</f>
        <v>*Celestial Packs*</v>
      </c>
      <c r="B10" s="1"/>
      <c r="C10" s="1"/>
      <c r="D10" s="1"/>
    </row>
    <row r="11">
      <c r="A11" s="1"/>
      <c r="B11" s="1" t="str">
        <f>IFERROR(__xludf.DUMMYFUNCTION("""COMPUTED_VALUE"""),"*$4*")</f>
        <v>*$4*</v>
      </c>
      <c r="C11" s="1" t="str">
        <f>IFERROR(__xludf.DUMMYFUNCTION("""COMPUTED_VALUE"""),"Normal")</f>
        <v>Normal</v>
      </c>
      <c r="D11" s="1" t="str">
        <f>IFERROR(__xludf.DUMMYFUNCTION("""COMPUTED_VALUE"""),"Choose *1* of up to *3**Planet* cards to be used immediately")</f>
        <v>Choose *1* of up to *3**Planet* cards to be used immediately</v>
      </c>
    </row>
    <row r="12">
      <c r="A12" s="1"/>
      <c r="B12" s="1" t="str">
        <f>IFERROR(__xludf.DUMMYFUNCTION("""COMPUTED_VALUE"""),"*$6*")</f>
        <v>*$6*</v>
      </c>
      <c r="C12" s="1" t="str">
        <f>IFERROR(__xludf.DUMMYFUNCTION("""COMPUTED_VALUE"""),"Jumbo")</f>
        <v>Jumbo</v>
      </c>
      <c r="D12" s="1" t="str">
        <f>IFERROR(__xludf.DUMMYFUNCTION("""COMPUTED_VALUE"""),"Choose *1* of up to *5**Planet* cards to be used immediately")</f>
        <v>Choose *1* of up to *5**Planet* cards to be used immediately</v>
      </c>
    </row>
    <row r="13">
      <c r="A13" s="1"/>
      <c r="B13" s="1" t="str">
        <f>IFERROR(__xludf.DUMMYFUNCTION("""COMPUTED_VALUE"""),"*$8*")</f>
        <v>*$8*</v>
      </c>
      <c r="C13" s="1" t="str">
        <f>IFERROR(__xludf.DUMMYFUNCTION("""COMPUTED_VALUE"""),"Mega")</f>
        <v>Mega</v>
      </c>
      <c r="D13" s="1" t="str">
        <f>IFERROR(__xludf.DUMMYFUNCTION("""COMPUTED_VALUE"""),"Choose *2* of up to *5**Planet* cards to be used immediately")</f>
        <v>Choose *2* of up to *5**Planet* cards to be used immediately</v>
      </c>
    </row>
    <row r="14">
      <c r="A14" s="1" t="str">
        <f>IFERROR(__xludf.DUMMYFUNCTION("""COMPUTED_VALUE"""),"*Buffoon Packs*")</f>
        <v>*Buffoon Packs*</v>
      </c>
      <c r="B14" s="1"/>
      <c r="C14" s="1"/>
      <c r="D14" s="1"/>
    </row>
    <row r="15">
      <c r="A15" s="1"/>
      <c r="B15" s="1" t="str">
        <f>IFERROR(__xludf.DUMMYFUNCTION("""COMPUTED_VALUE"""),"*$4*")</f>
        <v>*$4*</v>
      </c>
      <c r="C15" s="1" t="str">
        <f>IFERROR(__xludf.DUMMYFUNCTION("""COMPUTED_VALUE"""),"Normal")</f>
        <v>Normal</v>
      </c>
      <c r="D15" s="1" t="str">
        <f>IFERROR(__xludf.DUMMYFUNCTION("""COMPUTED_VALUE"""),"Choose *1* of up to *2* Joker cards")</f>
        <v>Choose *1* of up to *2* Joker cards</v>
      </c>
    </row>
    <row r="16">
      <c r="A16" s="1"/>
      <c r="B16" s="1" t="str">
        <f>IFERROR(__xludf.DUMMYFUNCTION("""COMPUTED_VALUE"""),"*$6*")</f>
        <v>*$6*</v>
      </c>
      <c r="C16" s="1" t="str">
        <f>IFERROR(__xludf.DUMMYFUNCTION("""COMPUTED_VALUE"""),"Jumbo")</f>
        <v>Jumbo</v>
      </c>
      <c r="D16" s="1" t="str">
        <f>IFERROR(__xludf.DUMMYFUNCTION("""COMPUTED_VALUE"""),"Choose *1* of up to *4* Joker cards")</f>
        <v>Choose *1* of up to *4* Joker cards</v>
      </c>
    </row>
    <row r="17">
      <c r="A17" s="1"/>
      <c r="B17" s="1" t="str">
        <f>IFERROR(__xludf.DUMMYFUNCTION("""COMPUTED_VALUE"""),"*$8*")</f>
        <v>*$8*</v>
      </c>
      <c r="C17" s="1" t="str">
        <f>IFERROR(__xludf.DUMMYFUNCTION("""COMPUTED_VALUE"""),"Mega")</f>
        <v>Mega</v>
      </c>
      <c r="D17" s="1" t="str">
        <f>IFERROR(__xludf.DUMMYFUNCTION("""COMPUTED_VALUE"""),"Choose *2* of up to *4* Joker cards")</f>
        <v>Choose *2* of up to *4* Joker cards</v>
      </c>
    </row>
    <row r="18">
      <c r="A18" s="1" t="str">
        <f>IFERROR(__xludf.DUMMYFUNCTION("""COMPUTED_VALUE"""),"*Spectral Packs*")</f>
        <v>*Spectral Packs*</v>
      </c>
      <c r="B18" s="1"/>
      <c r="C18" s="1"/>
      <c r="D18" s="1"/>
    </row>
    <row r="19">
      <c r="A19" s="1"/>
      <c r="B19" s="1" t="str">
        <f>IFERROR(__xludf.DUMMYFUNCTION("""COMPUTED_VALUE"""),"*$4*")</f>
        <v>*$4*</v>
      </c>
      <c r="C19" s="1" t="str">
        <f>IFERROR(__xludf.DUMMYFUNCTION("""COMPUTED_VALUE"""),"Normal")</f>
        <v>Normal</v>
      </c>
      <c r="D19" s="1" t="str">
        <f>IFERROR(__xludf.DUMMYFUNCTION("""COMPUTED_VALUE"""),"Choose *1* of up to *2**Spectral* cards to be used immediately")</f>
        <v>Choose *1* of up to *2**Spectral* cards to be used immediately</v>
      </c>
    </row>
    <row r="20">
      <c r="A20" s="1"/>
      <c r="B20" s="1" t="str">
        <f>IFERROR(__xludf.DUMMYFUNCTION("""COMPUTED_VALUE"""),"*$6*")</f>
        <v>*$6*</v>
      </c>
      <c r="C20" s="1" t="str">
        <f>IFERROR(__xludf.DUMMYFUNCTION("""COMPUTED_VALUE"""),"Jumbo")</f>
        <v>Jumbo</v>
      </c>
      <c r="D20" s="1" t="str">
        <f>IFERROR(__xludf.DUMMYFUNCTION("""COMPUTED_VALUE"""),"Choose *1* of up to *4**Spectral* cards to be used immediately")</f>
        <v>Choose *1* of up to *4**Spectral* cards to be used immediately</v>
      </c>
    </row>
    <row r="21">
      <c r="A21" s="1"/>
      <c r="B21" s="1" t="str">
        <f>IFERROR(__xludf.DUMMYFUNCTION("""COMPUTED_VALUE"""),"*$8*")</f>
        <v>*$8*</v>
      </c>
      <c r="C21" s="1" t="str">
        <f>IFERROR(__xludf.DUMMYFUNCTION("""COMPUTED_VALUE"""),"Mega")</f>
        <v>Mega</v>
      </c>
      <c r="D21" s="1" t="str">
        <f>IFERROR(__xludf.DUMMYFUNCTION("""COMPUTED_VALUE"""),"Choose *2* of up to *4**Spectral* cards to be used immediately")</f>
        <v>Choose *2* of up to *4**Spectral* cards to be used immediately</v>
      </c>
    </row>
    <row r="23">
      <c r="A23" s="1" t="str">
        <f>IFERROR(__xludf.DUMMYFUNCTION("IMPORTHTML(""https://balatrogame.fandom.com/wiki/Booster_Packs"", ""table"", 2)"),"Name")</f>
        <v>Name</v>
      </c>
      <c r="B23" s="1" t="str">
        <f>IFERROR(__xludf.DUMMYFUNCTION("""COMPUTED_VALUE"""),"*Normal*")</f>
        <v>*Normal*</v>
      </c>
      <c r="C23" s="1" t="str">
        <f>IFERROR(__xludf.DUMMYFUNCTION("""COMPUTED_VALUE"""),"*Jumbo*")</f>
        <v>*Jumbo*</v>
      </c>
      <c r="D23" s="1" t="str">
        <f>IFERROR(__xludf.DUMMYFUNCTION("""COMPUTED_VALUE"""),"*Mega*")</f>
        <v>*Mega*</v>
      </c>
    </row>
    <row r="24">
      <c r="A24" s="1" t="str">
        <f>IFERROR(__xludf.DUMMYFUNCTION("""COMPUTED_VALUE"""),"Standard, Arcana, and Celestial")</f>
        <v>Standard, Arcana, and Celestial</v>
      </c>
      <c r="B24" s="1">
        <f>IFERROR(__xludf.DUMMYFUNCTION("""COMPUTED_VALUE"""),4.0)</f>
        <v>4</v>
      </c>
      <c r="C24" s="1">
        <f>IFERROR(__xludf.DUMMYFUNCTION("""COMPUTED_VALUE"""),2.0)</f>
        <v>2</v>
      </c>
      <c r="D24" s="1">
        <f>IFERROR(__xludf.DUMMYFUNCTION("""COMPUTED_VALUE"""),0.5)</f>
        <v>0.5</v>
      </c>
    </row>
    <row r="25">
      <c r="A25" s="1" t="str">
        <f>IFERROR(__xludf.DUMMYFUNCTION("""COMPUTED_VALUE"""),"Buffoon")</f>
        <v>Buffoon</v>
      </c>
      <c r="B25" s="1">
        <f>IFERROR(__xludf.DUMMYFUNCTION("""COMPUTED_VALUE"""),1.2)</f>
        <v>1.2</v>
      </c>
      <c r="C25" s="1">
        <f>IFERROR(__xludf.DUMMYFUNCTION("""COMPUTED_VALUE"""),0.6)</f>
        <v>0.6</v>
      </c>
      <c r="D25" s="1">
        <f>IFERROR(__xludf.DUMMYFUNCTION("""COMPUTED_VALUE"""),0.15)</f>
        <v>0.15</v>
      </c>
    </row>
    <row r="26">
      <c r="A26" s="1" t="str">
        <f>IFERROR(__xludf.DUMMYFUNCTION("""COMPUTED_VALUE"""),"Spectral")</f>
        <v>Spectral</v>
      </c>
      <c r="B26" s="1">
        <f>IFERROR(__xludf.DUMMYFUNCTION("""COMPUTED_VALUE"""),0.6)</f>
        <v>0.6</v>
      </c>
      <c r="C26" s="1">
        <f>IFERROR(__xludf.DUMMYFUNCTION("""COMPUTED_VALUE"""),0.3)</f>
        <v>0.3</v>
      </c>
      <c r="D26" s="1">
        <f>IFERROR(__xludf.DUMMYFUNCTION("""COMPUTED_VALUE"""),0.07)</f>
        <v>0.07</v>
      </c>
    </row>
  </sheetData>
  <drawing r:id="rId1"/>
</worksheet>
</file>